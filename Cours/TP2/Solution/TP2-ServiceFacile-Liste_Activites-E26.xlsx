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qam-my.sharepoint.com/personal/bk890818_ens_uqam_ca/Documents/Cours/INF6150 - Génie logiciel - Conduite de projets informatiques/Cours/TP2/Solution/"/>
    </mc:Choice>
  </mc:AlternateContent>
  <xr:revisionPtr revIDLastSave="13" documentId="11_D31F0E3DB4C4C49E4CC7351E086EA39965E46033" xr6:coauthVersionLast="47" xr6:coauthVersionMax="47" xr10:uidLastSave="{9C249272-C2C3-4F4A-A62D-3959B69DF0B5}"/>
  <bookViews>
    <workbookView xWindow="10" yWindow="10" windowWidth="19180" windowHeight="10060" xr2:uid="{00000000-000D-0000-FFFF-FFFF00000000}"/>
  </bookViews>
  <sheets>
    <sheet name="Activités" sheetId="1" r:id="rId1"/>
    <sheet name="Obstacles" sheetId="2" r:id="rId2"/>
    <sheet name="Risques" sheetId="3" r:id="rId3"/>
  </sheets>
  <definedNames>
    <definedName name="tarif">Activités!$B$47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1" l="1"/>
  <c r="S43" i="1"/>
  <c r="R43" i="1"/>
  <c r="Q43" i="1"/>
  <c r="P43" i="1"/>
  <c r="M43" i="1"/>
  <c r="I43" i="1"/>
  <c r="H43" i="1"/>
  <c r="G43" i="1"/>
  <c r="F43" i="1"/>
  <c r="E43" i="1"/>
  <c r="J43" i="1" s="1"/>
  <c r="K43" i="1" s="1"/>
  <c r="C43" i="1"/>
  <c r="N43" i="1" s="1"/>
  <c r="B43" i="1"/>
  <c r="Z42" i="1"/>
  <c r="U42" i="1"/>
  <c r="N42" i="1"/>
  <c r="J42" i="1"/>
  <c r="V42" i="1" s="1"/>
  <c r="W42" i="1" s="1"/>
  <c r="AA41" i="1"/>
  <c r="Z41" i="1"/>
  <c r="AB41" i="1" s="1"/>
  <c r="Y41" i="1"/>
  <c r="W41" i="1"/>
  <c r="V41" i="1"/>
  <c r="U41" i="1"/>
  <c r="N41" i="1"/>
  <c r="K41" i="1"/>
  <c r="J41" i="1"/>
  <c r="V40" i="1"/>
  <c r="W40" i="1" s="1"/>
  <c r="U40" i="1"/>
  <c r="Z40" i="1" s="1"/>
  <c r="AB40" i="1" s="1"/>
  <c r="N40" i="1"/>
  <c r="K40" i="1"/>
  <c r="J40" i="1"/>
  <c r="U39" i="1"/>
  <c r="U43" i="1" s="1"/>
  <c r="N39" i="1"/>
  <c r="K39" i="1"/>
  <c r="J39" i="1"/>
  <c r="T37" i="1"/>
  <c r="S37" i="1"/>
  <c r="R37" i="1"/>
  <c r="Q37" i="1"/>
  <c r="P37" i="1"/>
  <c r="O37" i="1"/>
  <c r="O45" i="1" s="1"/>
  <c r="M37" i="1"/>
  <c r="N37" i="1" s="1"/>
  <c r="I37" i="1"/>
  <c r="H37" i="1"/>
  <c r="G37" i="1"/>
  <c r="F37" i="1"/>
  <c r="E37" i="1"/>
  <c r="D37" i="1"/>
  <c r="D45" i="1" s="1"/>
  <c r="C37" i="1"/>
  <c r="B37" i="1"/>
  <c r="U36" i="1"/>
  <c r="Z36" i="1" s="1"/>
  <c r="AB36" i="1" s="1"/>
  <c r="N36" i="1"/>
  <c r="K36" i="1"/>
  <c r="J36" i="1"/>
  <c r="V36" i="1" s="1"/>
  <c r="U35" i="1"/>
  <c r="Z35" i="1" s="1"/>
  <c r="N35" i="1"/>
  <c r="J35" i="1"/>
  <c r="V35" i="1" s="1"/>
  <c r="Z34" i="1"/>
  <c r="Y34" i="1"/>
  <c r="V34" i="1"/>
  <c r="W34" i="1" s="1"/>
  <c r="AA34" i="1" s="1"/>
  <c r="U34" i="1"/>
  <c r="N34" i="1"/>
  <c r="J34" i="1"/>
  <c r="K34" i="1" s="1"/>
  <c r="AB34" i="1" s="1"/>
  <c r="Z33" i="1"/>
  <c r="V33" i="1"/>
  <c r="W33" i="1" s="1"/>
  <c r="U33" i="1"/>
  <c r="N33" i="1"/>
  <c r="J33" i="1"/>
  <c r="K33" i="1" s="1"/>
  <c r="U32" i="1"/>
  <c r="V32" i="1" s="1"/>
  <c r="W32" i="1" s="1"/>
  <c r="N32" i="1"/>
  <c r="J32" i="1"/>
  <c r="K32" i="1" s="1"/>
  <c r="U31" i="1"/>
  <c r="Z31" i="1" s="1"/>
  <c r="N31" i="1"/>
  <c r="J31" i="1"/>
  <c r="U30" i="1"/>
  <c r="Z30" i="1" s="1"/>
  <c r="AB30" i="1" s="1"/>
  <c r="N30" i="1"/>
  <c r="K30" i="1"/>
  <c r="J30" i="1"/>
  <c r="V30" i="1" s="1"/>
  <c r="U29" i="1"/>
  <c r="Z29" i="1" s="1"/>
  <c r="N29" i="1"/>
  <c r="J29" i="1"/>
  <c r="V29" i="1" s="1"/>
  <c r="Z28" i="1"/>
  <c r="V28" i="1"/>
  <c r="W28" i="1" s="1"/>
  <c r="AA28" i="1" s="1"/>
  <c r="U28" i="1"/>
  <c r="N28" i="1"/>
  <c r="J28" i="1"/>
  <c r="K28" i="1" s="1"/>
  <c r="AB28" i="1" s="1"/>
  <c r="Z27" i="1"/>
  <c r="V27" i="1"/>
  <c r="W27" i="1" s="1"/>
  <c r="U27" i="1"/>
  <c r="N27" i="1"/>
  <c r="J27" i="1"/>
  <c r="K27" i="1" s="1"/>
  <c r="U26" i="1"/>
  <c r="V26" i="1" s="1"/>
  <c r="W26" i="1" s="1"/>
  <c r="N26" i="1"/>
  <c r="J26" i="1"/>
  <c r="K26" i="1" s="1"/>
  <c r="U25" i="1"/>
  <c r="Z25" i="1" s="1"/>
  <c r="N25" i="1"/>
  <c r="J25" i="1"/>
  <c r="U24" i="1"/>
  <c r="Z24" i="1" s="1"/>
  <c r="AB24" i="1" s="1"/>
  <c r="N24" i="1"/>
  <c r="K24" i="1"/>
  <c r="J24" i="1"/>
  <c r="V24" i="1" s="1"/>
  <c r="U23" i="1"/>
  <c r="Z23" i="1" s="1"/>
  <c r="N23" i="1"/>
  <c r="J23" i="1"/>
  <c r="V23" i="1" s="1"/>
  <c r="Z22" i="1"/>
  <c r="V22" i="1"/>
  <c r="W22" i="1" s="1"/>
  <c r="AA22" i="1" s="1"/>
  <c r="U22" i="1"/>
  <c r="N22" i="1"/>
  <c r="J22" i="1"/>
  <c r="K22" i="1" s="1"/>
  <c r="AB22" i="1" s="1"/>
  <c r="Z21" i="1"/>
  <c r="V21" i="1"/>
  <c r="W21" i="1" s="1"/>
  <c r="U21" i="1"/>
  <c r="N21" i="1"/>
  <c r="J21" i="1"/>
  <c r="K21" i="1" s="1"/>
  <c r="W20" i="1"/>
  <c r="U20" i="1"/>
  <c r="V20" i="1" s="1"/>
  <c r="N20" i="1"/>
  <c r="J20" i="1"/>
  <c r="K20" i="1" s="1"/>
  <c r="U19" i="1"/>
  <c r="N19" i="1"/>
  <c r="J19" i="1"/>
  <c r="AH17" i="1"/>
  <c r="T17" i="1"/>
  <c r="S17" i="1"/>
  <c r="R17" i="1"/>
  <c r="Q17" i="1"/>
  <c r="P17" i="1"/>
  <c r="M17" i="1"/>
  <c r="N17" i="1" s="1"/>
  <c r="I17" i="1"/>
  <c r="H17" i="1"/>
  <c r="G17" i="1"/>
  <c r="F17" i="1"/>
  <c r="E17" i="1"/>
  <c r="C17" i="1"/>
  <c r="B17" i="1"/>
  <c r="W16" i="1"/>
  <c r="U16" i="1"/>
  <c r="V16" i="1" s="1"/>
  <c r="N16" i="1"/>
  <c r="J16" i="1"/>
  <c r="K16" i="1" s="1"/>
  <c r="AH15" i="1"/>
  <c r="U15" i="1"/>
  <c r="N15" i="1"/>
  <c r="K15" i="1"/>
  <c r="J15" i="1"/>
  <c r="U14" i="1"/>
  <c r="N14" i="1"/>
  <c r="K14" i="1"/>
  <c r="J14" i="1"/>
  <c r="U13" i="1"/>
  <c r="N13" i="1"/>
  <c r="K13" i="1"/>
  <c r="J13" i="1"/>
  <c r="M11" i="1"/>
  <c r="I11" i="1"/>
  <c r="I45" i="1" s="1"/>
  <c r="AB10" i="1"/>
  <c r="Z10" i="1"/>
  <c r="Y10" i="1"/>
  <c r="V10" i="1"/>
  <c r="W10" i="1" s="1"/>
  <c r="AA10" i="1" s="1"/>
  <c r="U10" i="1"/>
  <c r="N10" i="1"/>
  <c r="J10" i="1"/>
  <c r="K10" i="1" s="1"/>
  <c r="V9" i="1"/>
  <c r="W9" i="1" s="1"/>
  <c r="AA9" i="1" s="1"/>
  <c r="AB9" i="1" s="1"/>
  <c r="U9" i="1"/>
  <c r="N9" i="1"/>
  <c r="J9" i="1"/>
  <c r="K9" i="1" s="1"/>
  <c r="V8" i="1"/>
  <c r="W8" i="1" s="1"/>
  <c r="U8" i="1"/>
  <c r="N8" i="1"/>
  <c r="J8" i="1"/>
  <c r="K8" i="1" s="1"/>
  <c r="U7" i="1"/>
  <c r="Z7" i="1" s="1"/>
  <c r="N7" i="1"/>
  <c r="N6" i="1" s="1"/>
  <c r="J7" i="1"/>
  <c r="V7" i="1" s="1"/>
  <c r="V6" i="1" s="1"/>
  <c r="V11" i="1" s="1"/>
  <c r="U6" i="1"/>
  <c r="T6" i="1"/>
  <c r="T11" i="1" s="1"/>
  <c r="T45" i="1" s="1"/>
  <c r="S6" i="1"/>
  <c r="S11" i="1" s="1"/>
  <c r="S45" i="1" s="1"/>
  <c r="R6" i="1"/>
  <c r="R11" i="1" s="1"/>
  <c r="R45" i="1" s="1"/>
  <c r="Q6" i="1"/>
  <c r="Q11" i="1" s="1"/>
  <c r="Q45" i="1" s="1"/>
  <c r="P6" i="1"/>
  <c r="P11" i="1" s="1"/>
  <c r="P45" i="1" s="1"/>
  <c r="I6" i="1"/>
  <c r="H6" i="1"/>
  <c r="H11" i="1" s="1"/>
  <c r="G6" i="1"/>
  <c r="G11" i="1" s="1"/>
  <c r="G45" i="1" s="1"/>
  <c r="F6" i="1"/>
  <c r="F11" i="1" s="1"/>
  <c r="F45" i="1" s="1"/>
  <c r="E6" i="1"/>
  <c r="E11" i="1" s="1"/>
  <c r="E45" i="1" s="1"/>
  <c r="C6" i="1"/>
  <c r="C11" i="1" s="1"/>
  <c r="C45" i="1" s="1"/>
  <c r="B6" i="1"/>
  <c r="B11" i="1" s="1"/>
  <c r="B45" i="1" s="1"/>
  <c r="Y8" i="1" l="1"/>
  <c r="AA8" i="1"/>
  <c r="AB8" i="1" s="1"/>
  <c r="Z8" i="1"/>
  <c r="AA20" i="1"/>
  <c r="Y20" i="1"/>
  <c r="AA26" i="1"/>
  <c r="Y26" i="1"/>
  <c r="AA32" i="1"/>
  <c r="Y32" i="1"/>
  <c r="U11" i="1"/>
  <c r="Z6" i="1"/>
  <c r="AA16" i="1"/>
  <c r="Y16" i="1"/>
  <c r="Y21" i="1"/>
  <c r="AA21" i="1"/>
  <c r="Z43" i="1"/>
  <c r="AF12" i="1"/>
  <c r="Y9" i="1"/>
  <c r="AB21" i="1"/>
  <c r="Y27" i="1"/>
  <c r="AA27" i="1"/>
  <c r="W7" i="1"/>
  <c r="Z9" i="1"/>
  <c r="K19" i="1"/>
  <c r="J37" i="1"/>
  <c r="K37" i="1" s="1"/>
  <c r="V19" i="1"/>
  <c r="W19" i="1" s="1"/>
  <c r="AB27" i="1"/>
  <c r="Y33" i="1"/>
  <c r="AA33" i="1"/>
  <c r="H45" i="1"/>
  <c r="AB33" i="1"/>
  <c r="Y42" i="1"/>
  <c r="AA42" i="1"/>
  <c r="W15" i="1"/>
  <c r="V15" i="1"/>
  <c r="Z15" i="1"/>
  <c r="AB15" i="1" s="1"/>
  <c r="Z19" i="1"/>
  <c r="AB19" i="1" s="1"/>
  <c r="U37" i="1"/>
  <c r="K25" i="1"/>
  <c r="V25" i="1"/>
  <c r="AB23" i="1"/>
  <c r="V14" i="1"/>
  <c r="W14" i="1" s="1"/>
  <c r="Z14" i="1"/>
  <c r="AB14" i="1" s="1"/>
  <c r="M45" i="1"/>
  <c r="N45" i="1" s="1"/>
  <c r="N11" i="1"/>
  <c r="K31" i="1"/>
  <c r="AB31" i="1" s="1"/>
  <c r="V31" i="1"/>
  <c r="AA40" i="1"/>
  <c r="Y40" i="1"/>
  <c r="U17" i="1"/>
  <c r="V13" i="1"/>
  <c r="Z13" i="1"/>
  <c r="AB13" i="1" s="1"/>
  <c r="Y22" i="1"/>
  <c r="AB25" i="1"/>
  <c r="Y28" i="1"/>
  <c r="Z16" i="1"/>
  <c r="AB16" i="1" s="1"/>
  <c r="J17" i="1"/>
  <c r="K17" i="1" s="1"/>
  <c r="Z20" i="1"/>
  <c r="AB20" i="1" s="1"/>
  <c r="K23" i="1"/>
  <c r="W25" i="1"/>
  <c r="Z26" i="1"/>
  <c r="AB26" i="1" s="1"/>
  <c r="K29" i="1"/>
  <c r="AB29" i="1" s="1"/>
  <c r="W31" i="1"/>
  <c r="Z32" i="1"/>
  <c r="AB32" i="1" s="1"/>
  <c r="K35" i="1"/>
  <c r="AB35" i="1" s="1"/>
  <c r="V39" i="1"/>
  <c r="V43" i="1" s="1"/>
  <c r="W39" i="1"/>
  <c r="J6" i="1"/>
  <c r="W36" i="1"/>
  <c r="Z39" i="1"/>
  <c r="AB39" i="1" s="1"/>
  <c r="K42" i="1"/>
  <c r="AB42" i="1" s="1"/>
  <c r="W24" i="1"/>
  <c r="W30" i="1"/>
  <c r="W23" i="1"/>
  <c r="W29" i="1"/>
  <c r="W35" i="1"/>
  <c r="K7" i="1"/>
  <c r="AA14" i="1" l="1"/>
  <c r="Y14" i="1"/>
  <c r="W37" i="1"/>
  <c r="AA37" i="1" s="1"/>
  <c r="AA19" i="1"/>
  <c r="Y19" i="1"/>
  <c r="Y37" i="1" s="1"/>
  <c r="Z11" i="1"/>
  <c r="U45" i="1"/>
  <c r="AF13" i="1" s="1"/>
  <c r="AF9" i="1"/>
  <c r="AA15" i="1"/>
  <c r="Y15" i="1"/>
  <c r="Y23" i="1"/>
  <c r="AA23" i="1"/>
  <c r="J11" i="1"/>
  <c r="K6" i="1"/>
  <c r="Y29" i="1"/>
  <c r="AA29" i="1"/>
  <c r="V17" i="1"/>
  <c r="V45" i="1" s="1"/>
  <c r="AA30" i="1"/>
  <c r="Y30" i="1"/>
  <c r="Z17" i="1"/>
  <c r="AF10" i="1"/>
  <c r="Y35" i="1"/>
  <c r="AA35" i="1"/>
  <c r="AA31" i="1"/>
  <c r="Y31" i="1"/>
  <c r="W13" i="1"/>
  <c r="AA24" i="1"/>
  <c r="Y24" i="1"/>
  <c r="AA25" i="1"/>
  <c r="Y25" i="1"/>
  <c r="AB43" i="1"/>
  <c r="AG12" i="1"/>
  <c r="AA7" i="1"/>
  <c r="AB7" i="1" s="1"/>
  <c r="W6" i="1"/>
  <c r="Y7" i="1"/>
  <c r="Y6" i="1" s="1"/>
  <c r="Y11" i="1" s="1"/>
  <c r="AA36" i="1"/>
  <c r="Y36" i="1"/>
  <c r="Z37" i="1"/>
  <c r="AF11" i="1"/>
  <c r="V37" i="1"/>
  <c r="W43" i="1"/>
  <c r="AA43" i="1" s="1"/>
  <c r="AA39" i="1"/>
  <c r="Y39" i="1"/>
  <c r="Y43" i="1" s="1"/>
  <c r="AA6" i="1" l="1"/>
  <c r="AB6" i="1" s="1"/>
  <c r="W11" i="1"/>
  <c r="AB17" i="1"/>
  <c r="AG10" i="1"/>
  <c r="Z45" i="1"/>
  <c r="AG9" i="1"/>
  <c r="AB11" i="1"/>
  <c r="AB37" i="1"/>
  <c r="AG11" i="1"/>
  <c r="AA13" i="1"/>
  <c r="W17" i="1"/>
  <c r="AA17" i="1" s="1"/>
  <c r="Y13" i="1"/>
  <c r="Y17" i="1" s="1"/>
  <c r="Y45" i="1" s="1"/>
  <c r="AF14" i="1"/>
  <c r="AF15" i="1" s="1"/>
  <c r="AG14" i="1"/>
  <c r="K11" i="1"/>
  <c r="J45" i="1"/>
  <c r="AG13" i="1" l="1"/>
  <c r="AG15" i="1" s="1"/>
  <c r="K45" i="1"/>
  <c r="AG16" i="1" s="1"/>
  <c r="AG17" i="1" s="1"/>
  <c r="AF16" i="1"/>
  <c r="AF17" i="1" s="1"/>
  <c r="W45" i="1"/>
  <c r="AA11" i="1"/>
  <c r="AA45" i="1" s="1"/>
  <c r="AB45" i="1" l="1"/>
</calcChain>
</file>

<file path=xl/sharedStrings.xml><?xml version="1.0" encoding="utf-8"?>
<sst xmlns="http://schemas.openxmlformats.org/spreadsheetml/2006/main" count="242" uniqueCount="137">
  <si>
    <t>Liste d'activités</t>
  </si>
  <si>
    <t>ServiceFacile</t>
  </si>
  <si>
    <t>Estimation</t>
  </si>
  <si>
    <t>Réel</t>
  </si>
  <si>
    <t>Durée</t>
  </si>
  <si>
    <t>Taille</t>
  </si>
  <si>
    <t>Effort (heures)</t>
  </si>
  <si>
    <t>Budget</t>
  </si>
  <si>
    <t>Coûts</t>
  </si>
  <si>
    <t>Remarques</t>
  </si>
  <si>
    <t>Tâches/Activités par phase:</t>
  </si>
  <si>
    <t>Date de début</t>
  </si>
  <si>
    <t>Date de fin</t>
  </si>
  <si>
    <t>(USP)</t>
  </si>
  <si>
    <t>SF</t>
  </si>
  <si>
    <t>CH</t>
  </si>
  <si>
    <t>MM</t>
  </si>
  <si>
    <t>YZ</t>
  </si>
  <si>
    <t>HA</t>
  </si>
  <si>
    <t>Effort prévu</t>
  </si>
  <si>
    <t>Montant</t>
  </si>
  <si>
    <t>Écart D.</t>
  </si>
  <si>
    <t>(PFC)</t>
  </si>
  <si>
    <t>À date</t>
  </si>
  <si>
    <t>R.A.F.</t>
  </si>
  <si>
    <t>Total</t>
  </si>
  <si>
    <t>Statut</t>
  </si>
  <si>
    <t>Écart Ef.</t>
  </si>
  <si>
    <t>Prejetés</t>
  </si>
  <si>
    <t>Écart C.</t>
  </si>
  <si>
    <t>Explication des écarts</t>
  </si>
  <si>
    <t>Phase Démarrage:</t>
  </si>
  <si>
    <t>Preuves de concept opérationnel</t>
  </si>
  <si>
    <t>n/a</t>
  </si>
  <si>
    <t>Pas commencé</t>
  </si>
  <si>
    <t>Grille de l'état de l'effort, des coûts et de la durée (pour les rapports de suivi et le bilan):</t>
  </si>
  <si>
    <t>- Détailler les exigences</t>
  </si>
  <si>
    <t>- Maquettes</t>
  </si>
  <si>
    <t>Phase</t>
  </si>
  <si>
    <t>Effort (hrs)</t>
  </si>
  <si>
    <t>Coûts ($)</t>
  </si>
  <si>
    <t>Durée (sem.)</t>
  </si>
  <si>
    <t>Remarques:</t>
  </si>
  <si>
    <t>- Définition des données requises</t>
  </si>
  <si>
    <t>Démarrage</t>
  </si>
  <si>
    <t>Mettre la durée manuellement</t>
  </si>
  <si>
    <t>Réunions</t>
  </si>
  <si>
    <t>Planification</t>
  </si>
  <si>
    <t>Sous-total Démarrage:</t>
  </si>
  <si>
    <t>--</t>
  </si>
  <si>
    <t>Réalisation</t>
  </si>
  <si>
    <t>Phase Planification:</t>
  </si>
  <si>
    <t>Clôture</t>
  </si>
  <si>
    <t>Charte de projet</t>
  </si>
  <si>
    <t>Total à date:</t>
  </si>
  <si>
    <t>Charte d’équipe</t>
  </si>
  <si>
    <t>Liste des activités (initiale)</t>
  </si>
  <si>
    <t>Total projeté:</t>
  </si>
  <si>
    <t>Budget initial</t>
  </si>
  <si>
    <t>Sous-total Planification:</t>
  </si>
  <si>
    <t>Écart</t>
  </si>
  <si>
    <t>=Budget initial-Total projeté
Si l'écart est positif, en VERT
Si négatif, en ROUGE</t>
  </si>
  <si>
    <t>Phase Réalisation</t>
  </si>
  <si>
    <t>Explication de l'écart</t>
  </si>
  <si>
    <t>#1 Création d'un compte</t>
  </si>
  <si>
    <t>#2 Profil utilisateur</t>
  </si>
  <si>
    <t>#3 Création d'un service</t>
  </si>
  <si>
    <t>#5 Page détail du service</t>
  </si>
  <si>
    <t>#10 Authentification</t>
  </si>
  <si>
    <t>#12 Postuler sur un service</t>
  </si>
  <si>
    <t>#13 Accepter ou refuser une candidature</t>
  </si>
  <si>
    <t>#17 Supprimer un service</t>
  </si>
  <si>
    <t>#23 Modifier un service</t>
  </si>
  <si>
    <t>#6 Commandes</t>
  </si>
  <si>
    <t>#18 Catégories de services</t>
  </si>
  <si>
    <t>#24 Modifier le profil utilisateur</t>
  </si>
  <si>
    <t>#4 Recherche de services</t>
  </si>
  <si>
    <t>#14 Tableau de bord utilisateur</t>
  </si>
  <si>
    <t>#19 Historique des candidatures</t>
  </si>
  <si>
    <t>Tests d'intégration et corrections de bugs</t>
  </si>
  <si>
    <t>Sous-total Réalisation:</t>
  </si>
  <si>
    <t>Phase Clôture</t>
  </si>
  <si>
    <t>Rétrospective globale</t>
  </si>
  <si>
    <t>Bilan de projet (initial)</t>
  </si>
  <si>
    <t>Présentation du bilan</t>
  </si>
  <si>
    <t>Bilan de projet (final)</t>
  </si>
  <si>
    <t>Sous-total Clôture:</t>
  </si>
  <si>
    <t>Tarif horaire:</t>
  </si>
  <si>
    <t>Statut:</t>
  </si>
  <si>
    <t>En cours</t>
  </si>
  <si>
    <t>Terminé</t>
  </si>
  <si>
    <t>Bloqué</t>
  </si>
  <si>
    <t>Carnet d'obstacles</t>
  </si>
  <si>
    <t>Nom Équipe</t>
  </si>
  <si>
    <t>No.</t>
  </si>
  <si>
    <t>Titre court</t>
  </si>
  <si>
    <t>Description</t>
  </si>
  <si>
    <t>Date de création</t>
  </si>
  <si>
    <t>Affecté à (initiales)</t>
  </si>
  <si>
    <t>Solution envisagée ou appliquée</t>
  </si>
  <si>
    <t>Statuts:</t>
  </si>
  <si>
    <t>Ouvert</t>
  </si>
  <si>
    <t>En traitement</t>
  </si>
  <si>
    <t>Résolu</t>
  </si>
  <si>
    <t>Carnet de risques</t>
  </si>
  <si>
    <t>Description du risque</t>
  </si>
  <si>
    <t>Probabilité d'occurrence</t>
  </si>
  <si>
    <t>Niveau d'impact</t>
  </si>
  <si>
    <t>Plan(s) de mitigation</t>
  </si>
  <si>
    <t>Plan(s) de contingence</t>
  </si>
  <si>
    <t>Niveau d'impact:</t>
  </si>
  <si>
    <t>Statut du risque</t>
  </si>
  <si>
    <t>Retard d'un membre</t>
  </si>
  <si>
    <t>Un membre de l'équipe ne livre pas ses tâches dans les délais</t>
  </si>
  <si>
    <t>Moyen</t>
  </si>
  <si>
    <t>Élevé</t>
  </si>
  <si>
    <t>Suivi hebdomadaire sur Discord avec point d'avancement de chacun</t>
  </si>
  <si>
    <t>Redistribution des tâches restantes entre les autres membres, documentée dans le carnet d'obstacles</t>
  </si>
  <si>
    <t>Négligeable</t>
  </si>
  <si>
    <t>Complexité sous-estimée</t>
  </si>
  <si>
    <t>Sous-estimation de la complexité d'une fonctionnalité (ex. messagerie, commandes)</t>
  </si>
  <si>
    <t>Décomposer les grosses issues en sous-tâches plus petites avant de commencer</t>
  </si>
  <si>
    <t>Réduire la portée de la fonctionnalité au strict nécessaire pour respecter l'échéancier</t>
  </si>
  <si>
    <t>Faible</t>
  </si>
  <si>
    <t>Conflits de fusion fréquents</t>
  </si>
  <si>
    <t>Conflits de fusion (merge conflicts) fréquents sur le code partagé</t>
  </si>
  <si>
    <t>Travailler sur des branches séparées par fonctionnalité et faire des commits fréquents</t>
  </si>
  <si>
    <t>Désigner un responsable de la gestion de configuration pour résoudre les conflits prioritairement</t>
  </si>
  <si>
    <t>Fermé</t>
  </si>
  <si>
    <t>Indisponibilité d'un membre</t>
  </si>
  <si>
    <t>Manque de disponibilité d'un membre (examens, travail, maladie)</t>
  </si>
  <si>
    <t>Prioriser les tâches critiques tôt dans le sprint, pas à la dernière minute</t>
  </si>
  <si>
    <t>Le coordonnateur réajuste l'échéancier interne et redistribue la charge</t>
  </si>
  <si>
    <t>Mauvaise compréhension d'exigence</t>
  </si>
  <si>
    <t>Mauvaise compréhension d'une exigence menant à du travail à refaire</t>
  </si>
  <si>
    <t>Revue des issues détaillées en équipe avant de commencer le développement</t>
  </si>
  <si>
    <t>Refaire la partie concernée en priorité lors du sprint suivant, documenté comme écart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</si>
</sst>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;\(#,##0.00\)"/>
    <numFmt numFmtId="165" formatCode="_ * #,##0.00_)\ &quot;$&quot;_ ;_ * \(#,##0.00\)\ &quot;$&quot;_ ;_ * &quot;-&quot;??_)\ &quot;$&quot;_ ;_ @_ "/>
    <numFmt numFmtId="166" formatCode="#,##0.00\ &quot;$&quot;"/>
    <numFmt numFmtId="167" formatCode="dd\-mm\-yyyy"/>
    <numFmt numFmtId="168" formatCode="d\-m\-yyyy"/>
    <numFmt numFmtId="169" formatCode="0.0"/>
    <numFmt numFmtId="170" formatCode="yyyy\-mm\-dd"/>
  </numFmts>
  <fonts count="23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rgb="FFE1A2FE"/>
        <bgColor rgb="FF93C47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/>
  </cellStyleXfs>
  <cellXfs count="221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3" borderId="8" xfId="0" applyNumberFormat="1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4" fillId="18" borderId="4" xfId="0" applyFont="1" applyFill="1" applyBorder="1" applyAlignment="1">
      <alignment horizontal="left" vertical="center" wrapText="1"/>
    </xf>
    <xf numFmtId="16" fontId="14" fillId="18" borderId="4" xfId="0" applyNumberFormat="1" applyFont="1" applyFill="1" applyBorder="1" applyAlignment="1">
      <alignment horizontal="center" vertical="center" wrapText="1"/>
    </xf>
    <xf numFmtId="16" fontId="14" fillId="18" borderId="1" xfId="0" applyNumberFormat="1" applyFont="1" applyFill="1" applyBorder="1" applyAlignment="1">
      <alignment horizontal="center" vertical="center" wrapText="1"/>
    </xf>
    <xf numFmtId="0" fontId="14" fillId="18" borderId="1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5" fillId="7" borderId="8" xfId="0" applyFont="1" applyFill="1" applyBorder="1" applyAlignment="1">
      <alignment horizontal="left" vertical="center" wrapText="1"/>
    </xf>
    <xf numFmtId="16" fontId="15" fillId="8" borderId="8" xfId="0" applyNumberFormat="1" applyFont="1" applyFill="1" applyBorder="1" applyAlignment="1">
      <alignment horizontal="center" vertical="center"/>
    </xf>
    <xf numFmtId="0" fontId="15" fillId="8" borderId="8" xfId="0" quotePrefix="1" applyFont="1" applyFill="1" applyBorder="1" applyAlignment="1">
      <alignment horizontal="center" vertical="center"/>
    </xf>
    <xf numFmtId="164" fontId="15" fillId="8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6" fillId="5" borderId="3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/>
    </xf>
    <xf numFmtId="16" fontId="15" fillId="6" borderId="8" xfId="0" applyNumberFormat="1" applyFont="1" applyFill="1" applyBorder="1" applyAlignment="1">
      <alignment horizontal="center" vertical="center"/>
    </xf>
    <xf numFmtId="0" fontId="15" fillId="6" borderId="8" xfId="0" quotePrefix="1" applyFont="1" applyFill="1" applyBorder="1" applyAlignment="1">
      <alignment horizontal="center" vertical="center"/>
    </xf>
    <xf numFmtId="164" fontId="15" fillId="6" borderId="8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left" vertical="center" wrapText="1"/>
    </xf>
    <xf numFmtId="0" fontId="15" fillId="10" borderId="8" xfId="0" applyFont="1" applyFill="1" applyBorder="1" applyAlignment="1">
      <alignment horizontal="left" vertical="center"/>
    </xf>
    <xf numFmtId="16" fontId="15" fillId="11" borderId="8" xfId="0" applyNumberFormat="1" applyFont="1" applyFill="1" applyBorder="1" applyAlignment="1">
      <alignment horizontal="center" vertical="center"/>
    </xf>
    <xf numFmtId="1" fontId="15" fillId="11" borderId="8" xfId="0" applyNumberFormat="1" applyFont="1" applyFill="1" applyBorder="1" applyAlignment="1">
      <alignment horizontal="center" vertical="center"/>
    </xf>
    <xf numFmtId="164" fontId="15" fillId="11" borderId="8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5" fillId="14" borderId="3" xfId="0" applyFont="1" applyFill="1" applyBorder="1" applyAlignment="1">
      <alignment horizontal="left" vertical="center" wrapText="1"/>
    </xf>
    <xf numFmtId="0" fontId="15" fillId="15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15" fillId="15" borderId="8" xfId="0" applyNumberFormat="1" applyFont="1" applyFill="1" applyBorder="1" applyAlignment="1">
      <alignment horizontal="center" vertical="center"/>
    </xf>
    <xf numFmtId="164" fontId="14" fillId="18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5" fillId="15" borderId="8" xfId="0" applyNumberFormat="1" applyFont="1" applyFill="1" applyBorder="1" applyAlignment="1">
      <alignment horizontal="center" vertical="center"/>
    </xf>
    <xf numFmtId="0" fontId="15" fillId="15" borderId="8" xfId="0" quotePrefix="1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left" vertical="center" wrapText="1"/>
    </xf>
    <xf numFmtId="16" fontId="14" fillId="19" borderId="8" xfId="0" applyNumberFormat="1" applyFont="1" applyFill="1" applyBorder="1" applyAlignment="1">
      <alignment horizontal="center" vertical="center" wrapText="1"/>
    </xf>
    <xf numFmtId="164" fontId="14" fillId="19" borderId="8" xfId="0" applyNumberFormat="1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5" fillId="8" borderId="8" xfId="1" applyNumberFormat="1" applyFont="1" applyFill="1" applyBorder="1" applyAlignment="1">
      <alignment horizontal="center" vertical="center"/>
    </xf>
    <xf numFmtId="165" fontId="16" fillId="5" borderId="8" xfId="1" applyNumberFormat="1" applyFont="1" applyFill="1" applyBorder="1" applyAlignment="1">
      <alignment horizontal="center" vertical="center" wrapText="1"/>
    </xf>
    <xf numFmtId="165" fontId="15" fillId="6" borderId="8" xfId="1" applyNumberFormat="1" applyFont="1" applyFill="1" applyBorder="1" applyAlignment="1">
      <alignment horizontal="center" vertical="center"/>
    </xf>
    <xf numFmtId="165" fontId="15" fillId="11" borderId="8" xfId="1" applyNumberFormat="1" applyFont="1" applyFill="1" applyBorder="1" applyAlignment="1">
      <alignment horizontal="center" vertical="center"/>
    </xf>
    <xf numFmtId="165" fontId="15" fillId="15" borderId="8" xfId="1" applyNumberFormat="1" applyFont="1" applyFill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14" fillId="18" borderId="8" xfId="1" applyNumberFormat="1" applyFont="1" applyFill="1" applyBorder="1" applyAlignment="1">
      <alignment horizontal="center" vertical="center" wrapText="1"/>
    </xf>
    <xf numFmtId="165" fontId="1" fillId="13" borderId="8" xfId="1" applyNumberFormat="1" applyFont="1" applyFill="1" applyBorder="1" applyAlignment="1">
      <alignment horizontal="center" vertical="center"/>
    </xf>
    <xf numFmtId="165" fontId="1" fillId="0" borderId="8" xfId="1" applyNumberFormat="1" applyFont="1" applyBorder="1" applyAlignment="1">
      <alignment horizontal="center" vertical="center"/>
    </xf>
    <xf numFmtId="165" fontId="15" fillId="10" borderId="8" xfId="1" applyNumberFormat="1" applyFont="1" applyFill="1" applyBorder="1" applyAlignment="1">
      <alignment horizontal="center" vertical="center" wrapText="1"/>
    </xf>
    <xf numFmtId="165" fontId="15" fillId="14" borderId="8" xfId="1" applyNumberFormat="1" applyFont="1" applyFill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/>
    </xf>
    <xf numFmtId="165" fontId="1" fillId="0" borderId="0" xfId="1" applyNumberFormat="1" applyFont="1" applyAlignment="1">
      <alignment vertical="center"/>
    </xf>
    <xf numFmtId="0" fontId="7" fillId="20" borderId="8" xfId="0" applyFont="1" applyFill="1" applyBorder="1" applyAlignment="1">
      <alignment vertical="center"/>
    </xf>
    <xf numFmtId="166" fontId="0" fillId="20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5" fillId="8" borderId="8" xfId="0" applyNumberFormat="1" applyFont="1" applyFill="1" applyBorder="1" applyAlignment="1">
      <alignment horizontal="center" vertical="center"/>
    </xf>
    <xf numFmtId="2" fontId="15" fillId="6" borderId="8" xfId="0" applyNumberFormat="1" applyFont="1" applyFill="1" applyBorder="1" applyAlignment="1">
      <alignment horizontal="center" vertical="center"/>
    </xf>
    <xf numFmtId="2" fontId="15" fillId="11" borderId="8" xfId="0" applyNumberFormat="1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14" fillId="18" borderId="3" xfId="0" applyNumberFormat="1" applyFont="1" applyFill="1" applyBorder="1" applyAlignment="1">
      <alignment horizontal="center" vertical="center" wrapText="1"/>
    </xf>
    <xf numFmtId="2" fontId="14" fillId="18" borderId="2" xfId="0" applyNumberFormat="1" applyFont="1" applyFill="1" applyBorder="1" applyAlignment="1">
      <alignment horizontal="center" vertical="center" wrapText="1"/>
    </xf>
    <xf numFmtId="2" fontId="14" fillId="18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vertical="center"/>
    </xf>
    <xf numFmtId="165" fontId="16" fillId="7" borderId="8" xfId="1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16" fontId="1" fillId="0" borderId="1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5" fontId="1" fillId="0" borderId="15" xfId="1" applyNumberFormat="1" applyFont="1" applyBorder="1" applyAlignment="1">
      <alignment horizontal="center" vertical="center"/>
    </xf>
    <xf numFmtId="16" fontId="16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7" fontId="1" fillId="13" borderId="8" xfId="0" applyNumberFormat="1" applyFont="1" applyFill="1" applyBorder="1" applyAlignment="1">
      <alignment horizontal="center" vertical="center"/>
    </xf>
    <xf numFmtId="2" fontId="1" fillId="13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13" borderId="8" xfId="0" applyNumberFormat="1" applyFont="1" applyFill="1" applyBorder="1" applyAlignment="1">
      <alignment horizontal="center" vertical="center"/>
    </xf>
    <xf numFmtId="165" fontId="3" fillId="13" borderId="8" xfId="1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 wrapText="1"/>
    </xf>
    <xf numFmtId="16" fontId="16" fillId="5" borderId="8" xfId="0" applyNumberFormat="1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2" fontId="16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8" fontId="3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15" fillId="10" borderId="8" xfId="0" applyFont="1" applyFill="1" applyBorder="1" applyAlignment="1">
      <alignment horizontal="left" vertical="center" wrapText="1"/>
    </xf>
    <xf numFmtId="16" fontId="15" fillId="10" borderId="8" xfId="0" applyNumberFormat="1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2" fontId="15" fillId="10" borderId="8" xfId="0" applyNumberFormat="1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left" vertical="center" wrapText="1"/>
    </xf>
    <xf numFmtId="16" fontId="2" fillId="0" borderId="8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4" fontId="1" fillId="13" borderId="8" xfId="0" applyNumberFormat="1" applyFont="1" applyFill="1" applyBorder="1" applyAlignment="1">
      <alignment horizontal="center" vertical="center"/>
    </xf>
    <xf numFmtId="0" fontId="7" fillId="12" borderId="8" xfId="0" quotePrefix="1" applyFont="1" applyFill="1" applyBorder="1" applyAlignment="1">
      <alignment horizontal="left" vertical="center" wrapText="1"/>
    </xf>
    <xf numFmtId="0" fontId="15" fillId="14" borderId="8" xfId="0" applyFont="1" applyFill="1" applyBorder="1" applyAlignment="1">
      <alignment horizontal="left" vertical="center" wrapText="1"/>
    </xf>
    <xf numFmtId="16" fontId="15" fillId="14" borderId="8" xfId="0" applyNumberFormat="1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2" fontId="15" fillId="14" borderId="8" xfId="0" applyNumberFormat="1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7" fillId="17" borderId="8" xfId="0" applyFont="1" applyFill="1" applyBorder="1" applyAlignment="1">
      <alignment horizontal="left" vertical="center" wrapText="1"/>
    </xf>
    <xf numFmtId="0" fontId="15" fillId="14" borderId="8" xfId="0" applyFont="1" applyFill="1" applyBorder="1" applyAlignment="1">
      <alignment horizontal="left" vertical="center"/>
    </xf>
    <xf numFmtId="2" fontId="15" fillId="15" borderId="8" xfId="0" applyNumberFormat="1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" fontId="16" fillId="8" borderId="8" xfId="0" applyNumberFormat="1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169" fontId="1" fillId="13" borderId="8" xfId="0" applyNumberFormat="1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9" fontId="3" fillId="13" borderId="8" xfId="0" applyNumberFormat="1" applyFont="1" applyFill="1" applyBorder="1" applyAlignment="1">
      <alignment horizontal="center" vertical="center"/>
    </xf>
    <xf numFmtId="164" fontId="3" fillId="13" borderId="8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" fontId="15" fillId="11" borderId="8" xfId="0" applyNumberFormat="1" applyFont="1" applyFill="1" applyBorder="1" applyAlignment="1">
      <alignment horizontal="center" vertical="center" wrapText="1"/>
    </xf>
    <xf numFmtId="165" fontId="2" fillId="13" borderId="8" xfId="1" applyNumberFormat="1" applyFont="1" applyFill="1" applyBorder="1" applyAlignment="1">
      <alignment horizontal="center" vertical="center"/>
    </xf>
    <xf numFmtId="16" fontId="15" fillId="15" borderId="8" xfId="0" applyNumberFormat="1" applyFont="1" applyFill="1" applyBorder="1" applyAlignment="1">
      <alignment horizontal="center" vertical="center" wrapText="1"/>
    </xf>
    <xf numFmtId="0" fontId="1" fillId="20" borderId="14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7" fillId="24" borderId="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164" fontId="18" fillId="0" borderId="8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4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4" fontId="9" fillId="0" borderId="8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64" fontId="20" fillId="0" borderId="8" xfId="0" applyNumberFormat="1" applyFont="1" applyBorder="1" applyAlignment="1">
      <alignment horizontal="center" vertical="center"/>
    </xf>
    <xf numFmtId="165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2" fontId="21" fillId="0" borderId="8" xfId="0" applyNumberFormat="1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7" fillId="25" borderId="8" xfId="0" applyFont="1" applyFill="1" applyBorder="1" applyAlignment="1">
      <alignment vertical="center"/>
    </xf>
    <xf numFmtId="0" fontId="22" fillId="26" borderId="8" xfId="0" applyFont="1" applyFill="1" applyBorder="1" applyAlignment="1">
      <alignment vertical="center"/>
    </xf>
    <xf numFmtId="0" fontId="22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22" fillId="24" borderId="8" xfId="0" applyFont="1" applyFill="1" applyBorder="1" applyAlignment="1">
      <alignment vertical="center"/>
    </xf>
    <xf numFmtId="0" fontId="7" fillId="31" borderId="8" xfId="0" applyFont="1" applyFill="1" applyBorder="1" applyAlignment="1">
      <alignment vertical="center"/>
    </xf>
    <xf numFmtId="170" fontId="0" fillId="0" borderId="0" xfId="0" applyNumberFormat="1"/>
    <xf numFmtId="0" fontId="19" fillId="0" borderId="19" xfId="0" applyFont="1" applyBorder="1" applyAlignment="1">
      <alignment horizontal="left" vertical="top"/>
    </xf>
    <xf numFmtId="0" fontId="0" fillId="0" borderId="19" xfId="0" applyBorder="1"/>
    <xf numFmtId="0" fontId="7" fillId="0" borderId="0" xfId="0" applyFont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0" fillId="0" borderId="18" xfId="0" applyBorder="1"/>
    <xf numFmtId="16" fontId="5" fillId="0" borderId="18" xfId="0" applyNumberFormat="1" applyFont="1" applyBorder="1" applyAlignment="1">
      <alignment horizontal="center" vertical="center"/>
    </xf>
    <xf numFmtId="16" fontId="16" fillId="6" borderId="8" xfId="0" applyNumberFormat="1" applyFont="1" applyFill="1" applyBorder="1" applyAlignment="1">
      <alignment horizontal="center" vertical="center" wrapText="1"/>
    </xf>
    <xf numFmtId="0" fontId="0" fillId="0" borderId="9" xfId="0" applyBorder="1"/>
    <xf numFmtId="16" fontId="1" fillId="13" borderId="8" xfId="0" applyNumberFormat="1" applyFont="1" applyFill="1" applyBorder="1" applyAlignment="1">
      <alignment horizontal="center" vertical="center"/>
    </xf>
    <xf numFmtId="16" fontId="15" fillId="15" borderId="8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2" borderId="3" xfId="0" applyFill="1" applyBorder="1" applyAlignment="1">
      <alignment horizontal="center" vertical="center" wrapText="1"/>
    </xf>
    <xf numFmtId="0" fontId="12" fillId="20" borderId="8" xfId="0" applyFont="1" applyFill="1" applyBorder="1" applyAlignment="1">
      <alignment horizontal="center" vertical="center"/>
    </xf>
    <xf numFmtId="0" fontId="0" fillId="0" borderId="21" xfId="0" applyBorder="1"/>
    <xf numFmtId="0" fontId="7" fillId="0" borderId="0" xfId="0" quotePrefix="1" applyFont="1" applyAlignment="1">
      <alignment horizontal="left" vertical="top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5" fillId="11" borderId="8" xfId="0" applyNumberFormat="1" applyFont="1" applyFill="1" applyBorder="1" applyAlignment="1">
      <alignment horizontal="center" vertical="center" wrapText="1"/>
    </xf>
    <xf numFmtId="0" fontId="1" fillId="20" borderId="14" xfId="0" applyFont="1" applyFill="1" applyBorder="1" applyAlignment="1">
      <alignment horizontal="center" vertical="center"/>
    </xf>
    <xf numFmtId="0" fontId="0" fillId="0" borderId="20" xfId="0" applyBorder="1"/>
    <xf numFmtId="0" fontId="12" fillId="13" borderId="8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23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</font>
      <fill>
        <patternFill patternType="solid">
          <bgColor theme="5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</font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2" displayName="Tableau2" ref="A4:G10" totalsRowShown="0" dataDxfId="22">
  <autoFilter ref="A4:G10" xr:uid="{00000000-0009-0000-0100-000001000000}"/>
  <tableColumns count="7">
    <tableColumn id="1" xr3:uid="{00000000-0010-0000-0000-000001000000}" name="No." dataDxfId="21"/>
    <tableColumn id="2" xr3:uid="{00000000-0010-0000-0000-000002000000}" name="Titre court" dataDxfId="20"/>
    <tableColumn id="3" xr3:uid="{00000000-0010-0000-0000-000003000000}" name="Description" dataDxfId="19"/>
    <tableColumn id="4" xr3:uid="{00000000-0010-0000-0000-000004000000}" name="Date de création" dataDxfId="18"/>
    <tableColumn id="5" xr3:uid="{00000000-0010-0000-0000-000005000000}" name="Affecté à (initiales)" dataDxfId="17"/>
    <tableColumn id="6" xr3:uid="{00000000-0010-0000-0000-000006000000}" name="Statut" dataDxfId="16"/>
    <tableColumn id="7" xr3:uid="{00000000-0010-0000-0000-000007000000}" name="Solution envisagée ou appliqué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3" displayName="Tableau3" ref="A4:J9" totalsRowShown="0" dataDxfId="14">
  <autoFilter ref="A4:J9" xr:uid="{00000000-0009-0000-0100-000002000000}"/>
  <tableColumns count="10">
    <tableColumn id="1" xr3:uid="{00000000-0010-0000-0100-000001000000}" name="No." dataDxfId="13"/>
    <tableColumn id="2" xr3:uid="{00000000-0010-0000-0100-000002000000}" name="Titre court" dataDxfId="12"/>
    <tableColumn id="3" xr3:uid="{00000000-0010-0000-0100-000003000000}" name="Description du risque" dataDxfId="11"/>
    <tableColumn id="4" xr3:uid="{00000000-0010-0000-0100-000004000000}" name="Probabilité d'occurrence" dataDxfId="10"/>
    <tableColumn id="5" xr3:uid="{00000000-0010-0000-0100-000005000000}" name="Niveau d'impact" dataDxfId="9"/>
    <tableColumn id="6" xr3:uid="{00000000-0010-0000-0100-000006000000}" name="Date de création" dataDxfId="8"/>
    <tableColumn id="7" xr3:uid="{00000000-0010-0000-0100-000007000000}" name="Affecté à (initiales)" dataDxfId="7"/>
    <tableColumn id="8" xr3:uid="{00000000-0010-0000-0100-000008000000}" name="Statut" dataDxfId="6"/>
    <tableColumn id="9" xr3:uid="{00000000-0010-0000-0100-000009000000}" name="Plan(s) de mitigation" dataDxfId="5"/>
    <tableColumn id="10" xr3:uid="{00000000-0010-0000-0100-00000A000000}" name="Plan(s) de conting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defaultColWidth="14.453125" defaultRowHeight="15.75" customHeight="1" outlineLevelRow="2" x14ac:dyDescent="0.25"/>
  <cols>
    <col min="1" max="1" width="34.6328125" style="2" customWidth="1"/>
    <col min="2" max="2" width="12.81640625" style="16" customWidth="1"/>
    <col min="3" max="3" width="11.453125" style="16" customWidth="1"/>
    <col min="4" max="4" width="14.453125" style="3" customWidth="1"/>
    <col min="5" max="7" width="7.36328125" style="2" customWidth="1"/>
    <col min="8" max="9" width="7.6328125" style="2" bestFit="1" customWidth="1"/>
    <col min="10" max="10" width="10.6328125" style="2" bestFit="1" customWidth="1"/>
    <col min="11" max="11" width="17.36328125" style="66" customWidth="1"/>
    <col min="12" max="12" width="2.453125" style="2" customWidth="1"/>
    <col min="13" max="13" width="10.1796875" style="16" customWidth="1"/>
    <col min="14" max="14" width="13.453125" style="2" customWidth="1"/>
    <col min="15" max="15" width="10.1796875" style="2" customWidth="1"/>
    <col min="16" max="16" width="6" style="2" customWidth="1"/>
    <col min="17" max="17" width="6.453125" style="2" customWidth="1"/>
    <col min="18" max="20" width="6" style="2" customWidth="1"/>
    <col min="21" max="21" width="6.453125" style="2" customWidth="1"/>
    <col min="22" max="22" width="11" style="2" customWidth="1"/>
    <col min="23" max="23" width="11.1796875" style="2" customWidth="1"/>
    <col min="24" max="24" width="13.36328125" style="2" bestFit="1" customWidth="1"/>
    <col min="25" max="25" width="7.36328125" style="2" customWidth="1"/>
    <col min="26" max="26" width="12.54296875" style="66" customWidth="1"/>
    <col min="27" max="27" width="18" style="66" customWidth="1"/>
    <col min="28" max="28" width="17.1796875" style="66" customWidth="1"/>
    <col min="29" max="29" width="29.81640625" style="2" customWidth="1"/>
    <col min="30" max="30" width="14.453125" style="2" customWidth="1"/>
    <col min="31" max="31" width="12" style="2" customWidth="1"/>
    <col min="32" max="32" width="9.1796875" style="3" bestFit="1" customWidth="1"/>
    <col min="33" max="33" width="13.81640625" style="3" customWidth="1"/>
    <col min="34" max="34" width="10.81640625" style="3" bestFit="1" customWidth="1"/>
    <col min="35" max="35" width="34.1796875" style="2" customWidth="1"/>
    <col min="36" max="36" width="14.453125" style="2" customWidth="1"/>
    <col min="37" max="16384" width="14.453125" style="2"/>
  </cols>
  <sheetData>
    <row r="1" spans="1:43" ht="15.75" customHeight="1" x14ac:dyDescent="0.25">
      <c r="A1" s="1" t="s">
        <v>0</v>
      </c>
      <c r="B1" s="197" t="s">
        <v>1</v>
      </c>
      <c r="C1" s="198"/>
      <c r="D1" s="198"/>
      <c r="E1" s="198"/>
      <c r="F1" s="198"/>
      <c r="G1" s="198"/>
      <c r="H1" s="198"/>
      <c r="I1" s="198"/>
      <c r="J1" s="198"/>
      <c r="K1" s="198"/>
      <c r="L1" s="11"/>
      <c r="M1" s="199" t="s">
        <v>1</v>
      </c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</row>
    <row r="2" spans="1:43" s="11" customFormat="1" ht="15.75" customHeight="1" x14ac:dyDescent="0.25">
      <c r="B2" s="216" t="s">
        <v>2</v>
      </c>
      <c r="C2" s="209"/>
      <c r="D2" s="209"/>
      <c r="E2" s="209"/>
      <c r="F2" s="209"/>
      <c r="G2" s="209"/>
      <c r="H2" s="209"/>
      <c r="I2" s="209"/>
      <c r="J2" s="209"/>
      <c r="K2" s="201"/>
      <c r="L2" s="54"/>
      <c r="M2" s="208" t="s">
        <v>3</v>
      </c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1"/>
      <c r="AF2" s="154"/>
      <c r="AG2" s="154"/>
      <c r="AH2" s="154"/>
    </row>
    <row r="3" spans="1:43" ht="15.75" customHeight="1" x14ac:dyDescent="0.25">
      <c r="B3" s="202" t="s">
        <v>4</v>
      </c>
      <c r="C3" s="201"/>
      <c r="D3" s="22" t="s">
        <v>5</v>
      </c>
      <c r="E3" s="217" t="s">
        <v>6</v>
      </c>
      <c r="F3" s="209"/>
      <c r="G3" s="209"/>
      <c r="H3" s="209"/>
      <c r="I3" s="209"/>
      <c r="J3" s="201"/>
      <c r="K3" s="74" t="s">
        <v>7</v>
      </c>
      <c r="L3" s="12"/>
      <c r="M3" s="214" t="s">
        <v>4</v>
      </c>
      <c r="N3" s="215"/>
      <c r="O3" s="147" t="s">
        <v>5</v>
      </c>
      <c r="P3" s="214" t="s">
        <v>6</v>
      </c>
      <c r="Q3" s="198"/>
      <c r="R3" s="198"/>
      <c r="S3" s="198"/>
      <c r="T3" s="198"/>
      <c r="U3" s="198"/>
      <c r="V3" s="198"/>
      <c r="W3" s="198"/>
      <c r="X3" s="198"/>
      <c r="Y3" s="215"/>
      <c r="Z3" s="214" t="s">
        <v>8</v>
      </c>
      <c r="AA3" s="198"/>
      <c r="AB3" s="215"/>
      <c r="AC3" s="147" t="s">
        <v>9</v>
      </c>
    </row>
    <row r="4" spans="1:43" s="20" customFormat="1" ht="15.75" customHeight="1" x14ac:dyDescent="0.25">
      <c r="A4" s="94" t="s">
        <v>10</v>
      </c>
      <c r="B4" s="95" t="s">
        <v>11</v>
      </c>
      <c r="C4" s="95" t="s">
        <v>12</v>
      </c>
      <c r="D4" s="96" t="s">
        <v>13</v>
      </c>
      <c r="E4" s="97" t="s">
        <v>14</v>
      </c>
      <c r="F4" s="98" t="s">
        <v>15</v>
      </c>
      <c r="G4" s="98" t="s">
        <v>16</v>
      </c>
      <c r="H4" s="98" t="s">
        <v>17</v>
      </c>
      <c r="I4" s="98" t="s">
        <v>18</v>
      </c>
      <c r="J4" s="99" t="s">
        <v>19</v>
      </c>
      <c r="K4" s="100" t="s">
        <v>20</v>
      </c>
      <c r="L4" s="12"/>
      <c r="M4" s="59" t="s">
        <v>12</v>
      </c>
      <c r="N4" s="90" t="s">
        <v>21</v>
      </c>
      <c r="O4" s="90" t="s">
        <v>22</v>
      </c>
      <c r="P4" s="90" t="s">
        <v>14</v>
      </c>
      <c r="Q4" s="90" t="s">
        <v>15</v>
      </c>
      <c r="R4" s="90" t="s">
        <v>16</v>
      </c>
      <c r="S4" s="90" t="s">
        <v>17</v>
      </c>
      <c r="T4" s="90" t="s">
        <v>18</v>
      </c>
      <c r="U4" s="90" t="s">
        <v>23</v>
      </c>
      <c r="V4" s="90" t="s">
        <v>24</v>
      </c>
      <c r="W4" s="90" t="s">
        <v>25</v>
      </c>
      <c r="X4" s="90" t="s">
        <v>26</v>
      </c>
      <c r="Y4" s="90" t="s">
        <v>27</v>
      </c>
      <c r="Z4" s="75" t="s">
        <v>23</v>
      </c>
      <c r="AA4" s="75" t="s">
        <v>28</v>
      </c>
      <c r="AB4" s="75" t="s">
        <v>29</v>
      </c>
      <c r="AC4" s="60" t="s">
        <v>30</v>
      </c>
      <c r="AF4" s="155"/>
      <c r="AG4" s="155"/>
      <c r="AH4" s="155"/>
    </row>
    <row r="5" spans="1:43" s="31" customFormat="1" ht="15.75" customHeight="1" x14ac:dyDescent="0.25">
      <c r="A5" s="32" t="s">
        <v>31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7"/>
      <c r="N5" s="138"/>
      <c r="O5" s="138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56"/>
      <c r="AG5" s="156"/>
      <c r="AH5" s="156"/>
    </row>
    <row r="6" spans="1:43" s="20" customFormat="1" ht="15.75" customHeight="1" outlineLevel="1" x14ac:dyDescent="0.25">
      <c r="A6" s="102" t="s">
        <v>32</v>
      </c>
      <c r="B6" s="21">
        <f>MIN(B7:B9)</f>
        <v>46188</v>
      </c>
      <c r="C6" s="21">
        <f>MAX(C7:C9)</f>
        <v>46193</v>
      </c>
      <c r="D6" s="103" t="s">
        <v>33</v>
      </c>
      <c r="E6" s="104">
        <f t="shared" ref="E6:J6" si="0">SUM(E7:E9)</f>
        <v>9</v>
      </c>
      <c r="F6" s="104">
        <f t="shared" si="0"/>
        <v>5</v>
      </c>
      <c r="G6" s="104">
        <f t="shared" si="0"/>
        <v>5</v>
      </c>
      <c r="H6" s="104">
        <f t="shared" si="0"/>
        <v>5</v>
      </c>
      <c r="I6" s="104">
        <f t="shared" si="0"/>
        <v>7</v>
      </c>
      <c r="J6" s="104">
        <f t="shared" si="0"/>
        <v>31</v>
      </c>
      <c r="K6" s="74">
        <f t="shared" ref="K6:K11" si="1">tarif*J6</f>
        <v>3410</v>
      </c>
      <c r="L6" s="13"/>
      <c r="M6" s="21"/>
      <c r="N6" s="139">
        <f>N7+N9</f>
        <v>-92383</v>
      </c>
      <c r="O6" s="103" t="s">
        <v>33</v>
      </c>
      <c r="P6" s="126">
        <f t="shared" ref="P6:W6" si="2">SUM(P7:P9)</f>
        <v>0</v>
      </c>
      <c r="Q6" s="126">
        <f t="shared" si="2"/>
        <v>0</v>
      </c>
      <c r="R6" s="126">
        <f t="shared" si="2"/>
        <v>0</v>
      </c>
      <c r="S6" s="126">
        <f t="shared" si="2"/>
        <v>0</v>
      </c>
      <c r="T6" s="126">
        <f t="shared" si="2"/>
        <v>0</v>
      </c>
      <c r="U6" s="126">
        <f t="shared" si="2"/>
        <v>0</v>
      </c>
      <c r="V6" s="126">
        <f t="shared" si="2"/>
        <v>31</v>
      </c>
      <c r="W6" s="126">
        <f t="shared" si="2"/>
        <v>31</v>
      </c>
      <c r="X6" s="140" t="s">
        <v>34</v>
      </c>
      <c r="Y6" s="126">
        <f>SUM(Y7:Y9)</f>
        <v>0</v>
      </c>
      <c r="Z6" s="74">
        <f>tarif*U6</f>
        <v>0</v>
      </c>
      <c r="AA6" s="74">
        <f t="shared" ref="AA6:AA11" si="3">tarif*W6</f>
        <v>3410</v>
      </c>
      <c r="AB6" s="74">
        <f>AA6-K6</f>
        <v>0</v>
      </c>
      <c r="AC6" s="204"/>
      <c r="AE6" s="20" t="s">
        <v>35</v>
      </c>
      <c r="AF6" s="155"/>
      <c r="AG6" s="155"/>
      <c r="AH6" s="155"/>
    </row>
    <row r="7" spans="1:43" s="19" customFormat="1" ht="15.75" customHeight="1" outlineLevel="2" x14ac:dyDescent="0.25">
      <c r="A7" s="105" t="s">
        <v>36</v>
      </c>
      <c r="B7" s="106">
        <v>46188</v>
      </c>
      <c r="C7" s="106">
        <v>46190</v>
      </c>
      <c r="D7" s="107" t="s">
        <v>33</v>
      </c>
      <c r="E7" s="108">
        <v>3</v>
      </c>
      <c r="F7" s="108">
        <v>3</v>
      </c>
      <c r="G7" s="108">
        <v>3</v>
      </c>
      <c r="H7" s="108">
        <v>3</v>
      </c>
      <c r="I7" s="108">
        <v>3</v>
      </c>
      <c r="J7" s="109">
        <f>SUM(E7:I7)</f>
        <v>15</v>
      </c>
      <c r="K7" s="110">
        <f t="shared" si="1"/>
        <v>1650</v>
      </c>
      <c r="L7" s="13"/>
      <c r="M7" s="59"/>
      <c r="N7" s="141">
        <f>M7-C7</f>
        <v>-46190</v>
      </c>
      <c r="O7" s="107" t="s">
        <v>33</v>
      </c>
      <c r="P7" s="136"/>
      <c r="Q7" s="136"/>
      <c r="R7" s="136"/>
      <c r="S7" s="136"/>
      <c r="T7" s="136"/>
      <c r="U7" s="142">
        <f>SUM(P7:T7)</f>
        <v>0</v>
      </c>
      <c r="V7" s="136">
        <f>J7-U7</f>
        <v>15</v>
      </c>
      <c r="W7" s="142">
        <f>U7+V7</f>
        <v>15</v>
      </c>
      <c r="X7" s="136" t="s">
        <v>34</v>
      </c>
      <c r="Y7" s="142">
        <f>(W7-J7)</f>
        <v>0</v>
      </c>
      <c r="Z7" s="110">
        <f>tarif*U7</f>
        <v>0</v>
      </c>
      <c r="AA7" s="110">
        <f t="shared" si="3"/>
        <v>1650</v>
      </c>
      <c r="AB7" s="110">
        <f>AA7-K7</f>
        <v>0</v>
      </c>
      <c r="AC7" s="205"/>
      <c r="AF7" s="55"/>
      <c r="AG7" s="55"/>
      <c r="AH7" s="55"/>
    </row>
    <row r="8" spans="1:43" s="19" customFormat="1" ht="15.75" customHeight="1" outlineLevel="2" x14ac:dyDescent="0.25">
      <c r="A8" s="105" t="s">
        <v>37</v>
      </c>
      <c r="B8" s="106">
        <v>46190</v>
      </c>
      <c r="C8" s="106">
        <v>46192</v>
      </c>
      <c r="D8" s="107" t="s">
        <v>33</v>
      </c>
      <c r="E8" s="108">
        <v>4</v>
      </c>
      <c r="F8" s="108">
        <v>0</v>
      </c>
      <c r="G8" s="108">
        <v>0</v>
      </c>
      <c r="H8" s="108">
        <v>0</v>
      </c>
      <c r="I8" s="108">
        <v>2</v>
      </c>
      <c r="J8" s="109">
        <f>SUM(E8:I8)</f>
        <v>6</v>
      </c>
      <c r="K8" s="110">
        <f t="shared" si="1"/>
        <v>660</v>
      </c>
      <c r="L8" s="13"/>
      <c r="M8" s="59"/>
      <c r="N8" s="141">
        <f>M8-C8</f>
        <v>-46192</v>
      </c>
      <c r="O8" s="107" t="s">
        <v>33</v>
      </c>
      <c r="P8" s="136"/>
      <c r="Q8" s="136"/>
      <c r="R8" s="136"/>
      <c r="S8" s="136"/>
      <c r="T8" s="136"/>
      <c r="U8" s="142">
        <f>SUM(P8:T8)</f>
        <v>0</v>
      </c>
      <c r="V8" s="136">
        <f>J8-U8</f>
        <v>6</v>
      </c>
      <c r="W8" s="142">
        <f>U8+V8</f>
        <v>6</v>
      </c>
      <c r="X8" s="136" t="s">
        <v>34</v>
      </c>
      <c r="Y8" s="142">
        <f>(W8-J8)</f>
        <v>0</v>
      </c>
      <c r="Z8" s="110">
        <f>tarif*W8</f>
        <v>660</v>
      </c>
      <c r="AA8" s="110">
        <f t="shared" si="3"/>
        <v>660</v>
      </c>
      <c r="AB8" s="110">
        <f>AA8-K8</f>
        <v>0</v>
      </c>
      <c r="AC8" s="205"/>
      <c r="AE8" s="158" t="s">
        <v>38</v>
      </c>
      <c r="AF8" s="159" t="s">
        <v>39</v>
      </c>
      <c r="AG8" s="159" t="s">
        <v>40</v>
      </c>
      <c r="AH8" s="159" t="s">
        <v>41</v>
      </c>
      <c r="AI8" s="19" t="s">
        <v>42</v>
      </c>
    </row>
    <row r="9" spans="1:43" s="19" customFormat="1" ht="15.75" customHeight="1" outlineLevel="2" x14ac:dyDescent="0.25">
      <c r="A9" s="105" t="s">
        <v>43</v>
      </c>
      <c r="B9" s="106">
        <v>46191</v>
      </c>
      <c r="C9" s="106">
        <v>46193</v>
      </c>
      <c r="D9" s="107" t="s">
        <v>33</v>
      </c>
      <c r="E9" s="108">
        <v>2</v>
      </c>
      <c r="F9" s="108">
        <v>2</v>
      </c>
      <c r="G9" s="108">
        <v>2</v>
      </c>
      <c r="H9" s="108">
        <v>2</v>
      </c>
      <c r="I9" s="108">
        <v>2</v>
      </c>
      <c r="J9" s="109">
        <f>SUM(E9:I9)</f>
        <v>10</v>
      </c>
      <c r="K9" s="110">
        <f t="shared" si="1"/>
        <v>1100</v>
      </c>
      <c r="L9" s="13"/>
      <c r="M9" s="59"/>
      <c r="N9" s="141">
        <f>M9-C9</f>
        <v>-46193</v>
      </c>
      <c r="O9" s="107" t="s">
        <v>33</v>
      </c>
      <c r="P9" s="136"/>
      <c r="Q9" s="136"/>
      <c r="R9" s="136"/>
      <c r="S9" s="136"/>
      <c r="T9" s="136"/>
      <c r="U9" s="142">
        <f>SUM(P9:T9)</f>
        <v>0</v>
      </c>
      <c r="V9" s="136">
        <f>J9-U9</f>
        <v>10</v>
      </c>
      <c r="W9" s="142">
        <f>U9+V9</f>
        <v>10</v>
      </c>
      <c r="X9" s="136" t="s">
        <v>34</v>
      </c>
      <c r="Y9" s="142">
        <f>(W9-J9)</f>
        <v>0</v>
      </c>
      <c r="Z9" s="110">
        <f>tarif*W9</f>
        <v>1100</v>
      </c>
      <c r="AA9" s="110">
        <f t="shared" si="3"/>
        <v>1100</v>
      </c>
      <c r="AB9" s="110">
        <f>AA9-K9</f>
        <v>0</v>
      </c>
      <c r="AC9" s="205"/>
      <c r="AE9" s="158" t="s">
        <v>44</v>
      </c>
      <c r="AF9" s="160">
        <f>U11</f>
        <v>0</v>
      </c>
      <c r="AG9" s="167">
        <f>Z11</f>
        <v>0</v>
      </c>
      <c r="AH9" s="159">
        <v>1</v>
      </c>
      <c r="AI9" s="19" t="s">
        <v>45</v>
      </c>
    </row>
    <row r="10" spans="1:43" s="19" customFormat="1" ht="15.75" customHeight="1" outlineLevel="1" x14ac:dyDescent="0.25">
      <c r="A10" s="111" t="s">
        <v>46</v>
      </c>
      <c r="B10" s="106">
        <v>46188</v>
      </c>
      <c r="C10" s="106">
        <v>46195</v>
      </c>
      <c r="D10" s="107" t="s">
        <v>33</v>
      </c>
      <c r="E10" s="108">
        <v>2</v>
      </c>
      <c r="F10" s="108">
        <v>2</v>
      </c>
      <c r="G10" s="108">
        <v>2</v>
      </c>
      <c r="H10" s="108">
        <v>2</v>
      </c>
      <c r="I10" s="108">
        <v>2</v>
      </c>
      <c r="J10" s="109">
        <f>SUM(E10:I10)</f>
        <v>10</v>
      </c>
      <c r="K10" s="110">
        <f t="shared" si="1"/>
        <v>1100</v>
      </c>
      <c r="L10" s="13"/>
      <c r="M10" s="59"/>
      <c r="N10" s="141">
        <f>M10-C10</f>
        <v>-46195</v>
      </c>
      <c r="O10" s="107" t="s">
        <v>33</v>
      </c>
      <c r="P10" s="136"/>
      <c r="Q10" s="136"/>
      <c r="R10" s="136"/>
      <c r="S10" s="136"/>
      <c r="T10" s="136"/>
      <c r="U10" s="142">
        <f>SUM(P10:T10)</f>
        <v>0</v>
      </c>
      <c r="V10" s="136">
        <f>J10-U10</f>
        <v>10</v>
      </c>
      <c r="W10" s="142">
        <f>U10+V10</f>
        <v>10</v>
      </c>
      <c r="X10" s="136" t="s">
        <v>34</v>
      </c>
      <c r="Y10" s="142">
        <f>(W10-J10)</f>
        <v>0</v>
      </c>
      <c r="Z10" s="110">
        <f>tarif*W10</f>
        <v>1100</v>
      </c>
      <c r="AA10" s="110">
        <f t="shared" si="3"/>
        <v>1100</v>
      </c>
      <c r="AB10" s="110">
        <f>AA10-K10</f>
        <v>0</v>
      </c>
      <c r="AC10" s="205"/>
      <c r="AE10" s="158" t="s">
        <v>47</v>
      </c>
      <c r="AF10" s="160">
        <f>U17</f>
        <v>0</v>
      </c>
      <c r="AG10" s="167">
        <f>Z17</f>
        <v>0</v>
      </c>
      <c r="AH10" s="159">
        <v>1</v>
      </c>
    </row>
    <row r="11" spans="1:43" s="38" customFormat="1" ht="15.75" customHeight="1" x14ac:dyDescent="0.25">
      <c r="A11" s="32" t="s">
        <v>48</v>
      </c>
      <c r="B11" s="33">
        <f>MIN(B6:B10)</f>
        <v>46188</v>
      </c>
      <c r="C11" s="33">
        <f>MAX(C6:C10)</f>
        <v>46195</v>
      </c>
      <c r="D11" s="34" t="s">
        <v>49</v>
      </c>
      <c r="E11" s="83">
        <f t="shared" ref="E11:J11" si="4">E6+E10</f>
        <v>11</v>
      </c>
      <c r="F11" s="83">
        <f t="shared" si="4"/>
        <v>7</v>
      </c>
      <c r="G11" s="83">
        <f t="shared" si="4"/>
        <v>7</v>
      </c>
      <c r="H11" s="83">
        <f t="shared" si="4"/>
        <v>7</v>
      </c>
      <c r="I11" s="83">
        <f t="shared" si="4"/>
        <v>9</v>
      </c>
      <c r="J11" s="83">
        <f t="shared" si="4"/>
        <v>41</v>
      </c>
      <c r="K11" s="67">
        <f t="shared" si="1"/>
        <v>4510</v>
      </c>
      <c r="L11" s="36"/>
      <c r="M11" s="33">
        <f>MAX(M6:M10)</f>
        <v>0</v>
      </c>
      <c r="N11" s="35">
        <f>M11-C11</f>
        <v>-46195</v>
      </c>
      <c r="O11" s="34" t="s">
        <v>49</v>
      </c>
      <c r="P11" s="35">
        <f t="shared" ref="P11:W11" si="5">P6+P10</f>
        <v>0</v>
      </c>
      <c r="Q11" s="35">
        <f t="shared" si="5"/>
        <v>0</v>
      </c>
      <c r="R11" s="35">
        <f t="shared" si="5"/>
        <v>0</v>
      </c>
      <c r="S11" s="35">
        <f t="shared" si="5"/>
        <v>0</v>
      </c>
      <c r="T11" s="35">
        <f t="shared" si="5"/>
        <v>0</v>
      </c>
      <c r="U11" s="35">
        <f t="shared" si="5"/>
        <v>0</v>
      </c>
      <c r="V11" s="35">
        <f t="shared" si="5"/>
        <v>41</v>
      </c>
      <c r="W11" s="35">
        <f t="shared" si="5"/>
        <v>41</v>
      </c>
      <c r="X11" s="35"/>
      <c r="Y11" s="35">
        <f>Y6+Y10</f>
        <v>0</v>
      </c>
      <c r="Z11" s="67">
        <f>tarif*U11</f>
        <v>0</v>
      </c>
      <c r="AA11" s="67">
        <f t="shared" si="3"/>
        <v>4510</v>
      </c>
      <c r="AB11" s="67">
        <f>Z11-K11</f>
        <v>-4510</v>
      </c>
      <c r="AC11" s="206"/>
      <c r="AD11" s="37"/>
      <c r="AE11" s="161" t="s">
        <v>50</v>
      </c>
      <c r="AF11" s="162">
        <f>U37</f>
        <v>0</v>
      </c>
      <c r="AG11" s="168">
        <f>Z37</f>
        <v>0</v>
      </c>
      <c r="AH11" s="163">
        <v>9</v>
      </c>
      <c r="AI11" s="153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 x14ac:dyDescent="0.25">
      <c r="A12" s="112" t="s">
        <v>51</v>
      </c>
      <c r="B12" s="113"/>
      <c r="C12" s="113"/>
      <c r="D12" s="114"/>
      <c r="E12" s="115"/>
      <c r="F12" s="115"/>
      <c r="G12" s="115"/>
      <c r="H12" s="115"/>
      <c r="I12" s="115"/>
      <c r="J12" s="115"/>
      <c r="K12" s="68"/>
      <c r="L12" s="29"/>
      <c r="M12" s="200"/>
      <c r="N12" s="201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68"/>
      <c r="AA12" s="68"/>
      <c r="AB12" s="68"/>
      <c r="AC12" s="39"/>
      <c r="AE12" s="164" t="s">
        <v>52</v>
      </c>
      <c r="AF12" s="165">
        <f>U43</f>
        <v>0</v>
      </c>
      <c r="AG12" s="169">
        <f>Z43</f>
        <v>0</v>
      </c>
      <c r="AH12" s="166">
        <v>1</v>
      </c>
    </row>
    <row r="13" spans="1:43" s="19" customFormat="1" ht="15.75" customHeight="1" outlineLevel="1" x14ac:dyDescent="0.25">
      <c r="A13" s="116" t="s">
        <v>53</v>
      </c>
      <c r="B13" s="106">
        <v>46195</v>
      </c>
      <c r="C13" s="106">
        <v>46197</v>
      </c>
      <c r="D13" s="117" t="s">
        <v>33</v>
      </c>
      <c r="E13" s="108">
        <v>4</v>
      </c>
      <c r="F13" s="108">
        <v>1</v>
      </c>
      <c r="G13" s="108">
        <v>1</v>
      </c>
      <c r="H13" s="108">
        <v>1</v>
      </c>
      <c r="I13" s="118">
        <v>1</v>
      </c>
      <c r="J13" s="109">
        <f>SUM(E13:I13)</f>
        <v>8</v>
      </c>
      <c r="K13" s="110">
        <f>tarif*J13</f>
        <v>880</v>
      </c>
      <c r="L13" s="9"/>
      <c r="M13" s="106"/>
      <c r="N13" s="141">
        <f>M13-C13</f>
        <v>-46197</v>
      </c>
      <c r="O13" s="117" t="s">
        <v>33</v>
      </c>
      <c r="P13" s="136"/>
      <c r="Q13" s="136"/>
      <c r="R13" s="136"/>
      <c r="S13" s="136"/>
      <c r="T13" s="143"/>
      <c r="U13" s="142">
        <f>SUM(P13:T13)</f>
        <v>0</v>
      </c>
      <c r="V13" s="136">
        <f>J13-U13</f>
        <v>8</v>
      </c>
      <c r="W13" s="142">
        <f>U13+V13</f>
        <v>8</v>
      </c>
      <c r="X13" s="136" t="s">
        <v>34</v>
      </c>
      <c r="Y13" s="142">
        <f>(W13-J13)</f>
        <v>0</v>
      </c>
      <c r="Z13" s="110">
        <f>tarif*U13</f>
        <v>0</v>
      </c>
      <c r="AA13" s="110">
        <f>tarif*W13</f>
        <v>880</v>
      </c>
      <c r="AB13" s="110">
        <f>Z13-K13</f>
        <v>-880</v>
      </c>
      <c r="AC13" s="207"/>
      <c r="AE13" s="173" t="s">
        <v>54</v>
      </c>
      <c r="AF13" s="174">
        <f>U45</f>
        <v>0</v>
      </c>
      <c r="AG13" s="175">
        <f>Z45</f>
        <v>0</v>
      </c>
      <c r="AH13" s="176">
        <v>2</v>
      </c>
    </row>
    <row r="14" spans="1:43" s="19" customFormat="1" ht="15.75" customHeight="1" outlineLevel="1" x14ac:dyDescent="0.25">
      <c r="A14" s="116" t="s">
        <v>55</v>
      </c>
      <c r="B14" s="106">
        <v>46195</v>
      </c>
      <c r="C14" s="106">
        <v>46198</v>
      </c>
      <c r="D14" s="117" t="s">
        <v>33</v>
      </c>
      <c r="E14" s="108">
        <v>3</v>
      </c>
      <c r="F14" s="108">
        <v>2</v>
      </c>
      <c r="G14" s="108">
        <v>2</v>
      </c>
      <c r="H14" s="118">
        <v>2</v>
      </c>
      <c r="I14" s="108">
        <v>2</v>
      </c>
      <c r="J14" s="109">
        <f>SUM(E14:I14)</f>
        <v>11</v>
      </c>
      <c r="K14" s="110">
        <f>tarif*J14</f>
        <v>1210</v>
      </c>
      <c r="L14" s="9"/>
      <c r="M14" s="106"/>
      <c r="N14" s="141">
        <f>M14-C14</f>
        <v>-46198</v>
      </c>
      <c r="O14" s="117" t="s">
        <v>33</v>
      </c>
      <c r="P14" s="136"/>
      <c r="Q14" s="136"/>
      <c r="R14" s="143"/>
      <c r="S14" s="143"/>
      <c r="T14" s="136"/>
      <c r="U14" s="142">
        <f>SUM(P14:T14)</f>
        <v>0</v>
      </c>
      <c r="V14" s="136">
        <f>J14-U14</f>
        <v>11</v>
      </c>
      <c r="W14" s="142">
        <f>U14+V14</f>
        <v>11</v>
      </c>
      <c r="X14" s="136" t="s">
        <v>34</v>
      </c>
      <c r="Y14" s="142">
        <f>(W14-J14)</f>
        <v>0</v>
      </c>
      <c r="Z14" s="110">
        <f>tarif*U14</f>
        <v>0</v>
      </c>
      <c r="AA14" s="110">
        <f>tarif*W14</f>
        <v>1210</v>
      </c>
      <c r="AB14" s="110">
        <f>Z14-K14</f>
        <v>-1210</v>
      </c>
      <c r="AC14" s="205"/>
      <c r="AE14" s="158" t="s">
        <v>24</v>
      </c>
      <c r="AF14" s="160">
        <f>V45</f>
        <v>228</v>
      </c>
      <c r="AG14" s="167">
        <f>V45*tarif</f>
        <v>25080</v>
      </c>
      <c r="AH14" s="159">
        <v>7</v>
      </c>
      <c r="AI14" s="171"/>
    </row>
    <row r="15" spans="1:43" s="19" customFormat="1" ht="15.75" customHeight="1" outlineLevel="1" x14ac:dyDescent="0.25">
      <c r="A15" s="116" t="s">
        <v>56</v>
      </c>
      <c r="B15" s="106">
        <v>46196</v>
      </c>
      <c r="C15" s="106">
        <v>46199</v>
      </c>
      <c r="D15" s="117" t="s">
        <v>33</v>
      </c>
      <c r="E15" s="118">
        <v>3</v>
      </c>
      <c r="F15" s="118">
        <v>1</v>
      </c>
      <c r="G15" s="108">
        <v>1</v>
      </c>
      <c r="H15" s="108">
        <v>1</v>
      </c>
      <c r="I15" s="108">
        <v>1</v>
      </c>
      <c r="J15" s="109">
        <f>SUM(E15:I15)</f>
        <v>7</v>
      </c>
      <c r="K15" s="110">
        <f>tarif*J15</f>
        <v>770</v>
      </c>
      <c r="L15" s="9"/>
      <c r="M15" s="106"/>
      <c r="N15" s="141">
        <f>M15-C15</f>
        <v>-46199</v>
      </c>
      <c r="O15" s="117" t="s">
        <v>33</v>
      </c>
      <c r="P15" s="143"/>
      <c r="Q15" s="136"/>
      <c r="R15" s="136"/>
      <c r="S15" s="136"/>
      <c r="T15" s="136"/>
      <c r="U15" s="142">
        <f>SUM(P15:T15)</f>
        <v>0</v>
      </c>
      <c r="V15" s="136">
        <f>J15-U15</f>
        <v>7</v>
      </c>
      <c r="W15" s="142">
        <f>U15+V15</f>
        <v>7</v>
      </c>
      <c r="X15" s="136" t="s">
        <v>34</v>
      </c>
      <c r="Y15" s="142">
        <f>(W15-J15)</f>
        <v>0</v>
      </c>
      <c r="Z15" s="110">
        <f>tarif*U15</f>
        <v>0</v>
      </c>
      <c r="AA15" s="110">
        <f>tarif*W15</f>
        <v>770</v>
      </c>
      <c r="AB15" s="110">
        <f>Z15-K15</f>
        <v>-770</v>
      </c>
      <c r="AC15" s="205"/>
      <c r="AE15" s="177" t="s">
        <v>57</v>
      </c>
      <c r="AF15" s="178">
        <f>AF13+AF14</f>
        <v>228</v>
      </c>
      <c r="AG15" s="179">
        <f>AG13+AG14</f>
        <v>25080</v>
      </c>
      <c r="AH15" s="180">
        <f>AH13+AH14</f>
        <v>9</v>
      </c>
      <c r="AI15" s="172"/>
    </row>
    <row r="16" spans="1:43" s="19" customFormat="1" ht="15.75" customHeight="1" outlineLevel="1" x14ac:dyDescent="0.25">
      <c r="A16" s="116" t="s">
        <v>46</v>
      </c>
      <c r="B16" s="106">
        <v>46195</v>
      </c>
      <c r="C16" s="106">
        <v>46202</v>
      </c>
      <c r="D16" s="117" t="s">
        <v>33</v>
      </c>
      <c r="E16" s="108">
        <v>2</v>
      </c>
      <c r="F16" s="108">
        <v>2</v>
      </c>
      <c r="G16" s="108">
        <v>2</v>
      </c>
      <c r="H16" s="108">
        <v>2</v>
      </c>
      <c r="I16" s="108">
        <v>2</v>
      </c>
      <c r="J16" s="109">
        <f>SUM(E16:I16)</f>
        <v>10</v>
      </c>
      <c r="K16" s="110">
        <f>tarif*J16</f>
        <v>1100</v>
      </c>
      <c r="L16" s="9"/>
      <c r="M16" s="106"/>
      <c r="N16" s="141">
        <f>M16-C16</f>
        <v>-46202</v>
      </c>
      <c r="O16" s="117" t="s">
        <v>33</v>
      </c>
      <c r="P16" s="136"/>
      <c r="Q16" s="136"/>
      <c r="R16" s="136"/>
      <c r="S16" s="136"/>
      <c r="T16" s="136"/>
      <c r="U16" s="142">
        <f>SUM(P16:T16)</f>
        <v>0</v>
      </c>
      <c r="V16" s="136">
        <f>J16-U16</f>
        <v>10</v>
      </c>
      <c r="W16" s="142">
        <f>U16+V16</f>
        <v>10</v>
      </c>
      <c r="X16" s="136" t="s">
        <v>34</v>
      </c>
      <c r="Y16" s="142">
        <f>(W16-J16)</f>
        <v>0</v>
      </c>
      <c r="Z16" s="110">
        <f>tarif*U16</f>
        <v>0</v>
      </c>
      <c r="AA16" s="110">
        <f>tarif*W16</f>
        <v>1100</v>
      </c>
      <c r="AB16" s="110">
        <f>Z16-K16</f>
        <v>-1100</v>
      </c>
      <c r="AC16" s="205"/>
      <c r="AE16" s="181" t="s">
        <v>58</v>
      </c>
      <c r="AF16" s="182">
        <f>J45</f>
        <v>228</v>
      </c>
      <c r="AG16" s="183">
        <f>K45</f>
        <v>25080</v>
      </c>
      <c r="AH16" s="184">
        <v>9</v>
      </c>
    </row>
    <row r="17" spans="1:43" s="38" customFormat="1" ht="15.75" customHeight="1" x14ac:dyDescent="0.25">
      <c r="A17" s="40" t="s">
        <v>59</v>
      </c>
      <c r="B17" s="41">
        <f>MIN(B13:B16)</f>
        <v>46195</v>
      </c>
      <c r="C17" s="41">
        <f>MAX(C13:C16)</f>
        <v>46202</v>
      </c>
      <c r="D17" s="42" t="s">
        <v>49</v>
      </c>
      <c r="E17" s="84">
        <f t="shared" ref="E17:J17" si="6">SUM(E13:E16)</f>
        <v>12</v>
      </c>
      <c r="F17" s="84">
        <f t="shared" si="6"/>
        <v>6</v>
      </c>
      <c r="G17" s="84">
        <f t="shared" si="6"/>
        <v>6</v>
      </c>
      <c r="H17" s="84">
        <f t="shared" si="6"/>
        <v>6</v>
      </c>
      <c r="I17" s="84">
        <f t="shared" si="6"/>
        <v>6</v>
      </c>
      <c r="J17" s="84">
        <f t="shared" si="6"/>
        <v>36</v>
      </c>
      <c r="K17" s="69">
        <f>tarif*J17</f>
        <v>3960</v>
      </c>
      <c r="L17" s="36"/>
      <c r="M17" s="41">
        <f>MAX(M13:M16)</f>
        <v>0</v>
      </c>
      <c r="N17" s="43">
        <f>M17-C17</f>
        <v>-46202</v>
      </c>
      <c r="O17" s="42" t="s">
        <v>49</v>
      </c>
      <c r="P17" s="43">
        <f t="shared" ref="P17:W17" si="7">SUM(P13:P16)</f>
        <v>0</v>
      </c>
      <c r="Q17" s="43">
        <f t="shared" si="7"/>
        <v>0</v>
      </c>
      <c r="R17" s="43">
        <f t="shared" si="7"/>
        <v>0</v>
      </c>
      <c r="S17" s="43">
        <f t="shared" si="7"/>
        <v>0</v>
      </c>
      <c r="T17" s="43">
        <f t="shared" si="7"/>
        <v>0</v>
      </c>
      <c r="U17" s="43">
        <f t="shared" si="7"/>
        <v>0</v>
      </c>
      <c r="V17" s="43">
        <f t="shared" si="7"/>
        <v>36</v>
      </c>
      <c r="W17" s="43">
        <f t="shared" si="7"/>
        <v>36</v>
      </c>
      <c r="X17" s="43"/>
      <c r="Y17" s="43">
        <f>SUM(Y13:Y16)</f>
        <v>0</v>
      </c>
      <c r="Z17" s="69">
        <f>tarif*U17</f>
        <v>0</v>
      </c>
      <c r="AA17" s="69">
        <f>tarif*W17</f>
        <v>3960</v>
      </c>
      <c r="AB17" s="69">
        <f>Z17-K17</f>
        <v>-3960</v>
      </c>
      <c r="AC17" s="206"/>
      <c r="AD17" s="37"/>
      <c r="AE17" s="158" t="s">
        <v>60</v>
      </c>
      <c r="AF17" s="170">
        <f>AF16-AF15</f>
        <v>0</v>
      </c>
      <c r="AG17" s="167">
        <f>AG16-AG15</f>
        <v>0</v>
      </c>
      <c r="AH17" s="159">
        <f>AH16-AH15</f>
        <v>0</v>
      </c>
      <c r="AI17" s="210" t="s">
        <v>61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 x14ac:dyDescent="0.25">
      <c r="A18" s="119" t="s">
        <v>62</v>
      </c>
      <c r="B18" s="120"/>
      <c r="C18" s="120"/>
      <c r="D18" s="121"/>
      <c r="E18" s="122"/>
      <c r="F18" s="122"/>
      <c r="G18" s="122"/>
      <c r="H18" s="122"/>
      <c r="I18" s="122"/>
      <c r="J18" s="122"/>
      <c r="K18" s="76"/>
      <c r="L18" s="51"/>
      <c r="M18" s="213"/>
      <c r="N18" s="201"/>
      <c r="O18" s="144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76"/>
      <c r="AA18" s="76"/>
      <c r="AB18" s="76"/>
      <c r="AC18" s="44"/>
      <c r="AE18" s="194" t="s">
        <v>63</v>
      </c>
      <c r="AF18" s="195"/>
      <c r="AG18" s="195"/>
      <c r="AH18" s="195"/>
      <c r="AI18" s="211"/>
    </row>
    <row r="19" spans="1:43" s="19" customFormat="1" ht="15.75" customHeight="1" outlineLevel="1" x14ac:dyDescent="0.25">
      <c r="A19" s="123" t="s">
        <v>64</v>
      </c>
      <c r="B19" s="106">
        <v>46203</v>
      </c>
      <c r="C19" s="124">
        <v>46206</v>
      </c>
      <c r="D19" s="125">
        <v>3</v>
      </c>
      <c r="E19" s="108">
        <v>8</v>
      </c>
      <c r="F19" s="108">
        <v>0</v>
      </c>
      <c r="G19" s="108">
        <v>0</v>
      </c>
      <c r="H19" s="108">
        <v>0</v>
      </c>
      <c r="I19" s="108">
        <v>0</v>
      </c>
      <c r="J19" s="109">
        <f t="shared" ref="J19:J36" si="8">SUM(E19:I19)</f>
        <v>8</v>
      </c>
      <c r="K19" s="110">
        <f t="shared" ref="K19:K37" si="9">tarif*J19</f>
        <v>880</v>
      </c>
      <c r="L19" s="9"/>
      <c r="M19" s="106"/>
      <c r="N19" s="141">
        <f t="shared" ref="N19:N37" si="10">M19-C19</f>
        <v>-46206</v>
      </c>
      <c r="O19" s="125"/>
      <c r="P19" s="136"/>
      <c r="Q19" s="136"/>
      <c r="R19" s="136"/>
      <c r="S19" s="136"/>
      <c r="T19" s="136"/>
      <c r="U19" s="142">
        <f t="shared" ref="U19:U36" si="11">SUM(P19:T19)</f>
        <v>0</v>
      </c>
      <c r="V19" s="136">
        <f t="shared" ref="V19:V36" si="12">J19-U19</f>
        <v>8</v>
      </c>
      <c r="W19" s="142">
        <f t="shared" ref="W19:W36" si="13">U19+V19</f>
        <v>8</v>
      </c>
      <c r="X19" s="136" t="s">
        <v>34</v>
      </c>
      <c r="Y19" s="142">
        <f t="shared" ref="Y19:Y36" si="14">(W19-J19)</f>
        <v>0</v>
      </c>
      <c r="Z19" s="110">
        <f t="shared" ref="Z19:Z37" si="15">tarif*U19</f>
        <v>0</v>
      </c>
      <c r="AA19" s="110">
        <f t="shared" ref="AA19:AA37" si="16">tarif*W19</f>
        <v>880</v>
      </c>
      <c r="AB19" s="145">
        <f t="shared" ref="AB19:AB37" si="17">Z19-K19</f>
        <v>-880</v>
      </c>
      <c r="AC19" s="6"/>
      <c r="AE19" s="196"/>
      <c r="AF19" s="196"/>
      <c r="AG19" s="196"/>
      <c r="AH19" s="196"/>
      <c r="AI19" s="196"/>
    </row>
    <row r="20" spans="1:43" s="20" customFormat="1" ht="15.75" customHeight="1" outlineLevel="1" x14ac:dyDescent="0.25">
      <c r="A20" s="123" t="s">
        <v>65</v>
      </c>
      <c r="B20" s="106">
        <v>46205</v>
      </c>
      <c r="C20" s="124">
        <v>46208</v>
      </c>
      <c r="D20" s="148">
        <v>3</v>
      </c>
      <c r="E20" s="136">
        <v>8</v>
      </c>
      <c r="F20" s="136">
        <v>0</v>
      </c>
      <c r="G20" s="136">
        <v>0</v>
      </c>
      <c r="H20" s="136">
        <v>0</v>
      </c>
      <c r="I20" s="136">
        <v>0</v>
      </c>
      <c r="J20" s="109">
        <f t="shared" si="8"/>
        <v>8</v>
      </c>
      <c r="K20" s="110">
        <f t="shared" si="9"/>
        <v>880</v>
      </c>
      <c r="L20" s="9"/>
      <c r="M20" s="106"/>
      <c r="N20" s="141">
        <f t="shared" si="10"/>
        <v>-46208</v>
      </c>
      <c r="O20" s="148"/>
      <c r="P20" s="136"/>
      <c r="Q20" s="136"/>
      <c r="R20" s="136"/>
      <c r="S20" s="136"/>
      <c r="T20" s="136"/>
      <c r="U20" s="142">
        <f t="shared" si="11"/>
        <v>0</v>
      </c>
      <c r="V20" s="136">
        <f t="shared" si="12"/>
        <v>8</v>
      </c>
      <c r="W20" s="142">
        <f t="shared" si="13"/>
        <v>8</v>
      </c>
      <c r="X20" s="136" t="s">
        <v>34</v>
      </c>
      <c r="Y20" s="142">
        <f t="shared" si="14"/>
        <v>0</v>
      </c>
      <c r="Z20" s="110">
        <f t="shared" si="15"/>
        <v>0</v>
      </c>
      <c r="AA20" s="110">
        <f t="shared" si="16"/>
        <v>880</v>
      </c>
      <c r="AB20" s="145">
        <f t="shared" si="17"/>
        <v>-880</v>
      </c>
      <c r="AC20" s="6"/>
      <c r="AD20" s="19"/>
      <c r="AE20" s="19"/>
      <c r="AF20" s="55"/>
      <c r="AG20" s="55"/>
      <c r="AH20" s="55"/>
      <c r="AI20" s="212"/>
    </row>
    <row r="21" spans="1:43" s="19" customFormat="1" ht="15.75" customHeight="1" outlineLevel="2" x14ac:dyDescent="0.25">
      <c r="A21" s="127" t="s">
        <v>66</v>
      </c>
      <c r="B21" s="106">
        <v>46207</v>
      </c>
      <c r="C21" s="124">
        <v>46210</v>
      </c>
      <c r="D21" s="148">
        <v>3</v>
      </c>
      <c r="E21" s="108">
        <v>10</v>
      </c>
      <c r="F21" s="108">
        <v>0</v>
      </c>
      <c r="G21" s="108">
        <v>0</v>
      </c>
      <c r="H21" s="108">
        <v>0</v>
      </c>
      <c r="I21" s="108">
        <v>0</v>
      </c>
      <c r="J21" s="109">
        <f t="shared" si="8"/>
        <v>10</v>
      </c>
      <c r="K21" s="110">
        <f t="shared" si="9"/>
        <v>1100</v>
      </c>
      <c r="L21" s="9"/>
      <c r="M21" s="106"/>
      <c r="N21" s="141">
        <f t="shared" si="10"/>
        <v>-46210</v>
      </c>
      <c r="O21" s="148"/>
      <c r="P21" s="136"/>
      <c r="Q21" s="136"/>
      <c r="R21" s="136"/>
      <c r="S21" s="136"/>
      <c r="T21" s="136"/>
      <c r="U21" s="142">
        <f t="shared" si="11"/>
        <v>0</v>
      </c>
      <c r="V21" s="136">
        <f t="shared" si="12"/>
        <v>10</v>
      </c>
      <c r="W21" s="142">
        <f t="shared" si="13"/>
        <v>10</v>
      </c>
      <c r="X21" s="136" t="s">
        <v>34</v>
      </c>
      <c r="Y21" s="142">
        <f t="shared" si="14"/>
        <v>0</v>
      </c>
      <c r="Z21" s="110">
        <f t="shared" si="15"/>
        <v>0</v>
      </c>
      <c r="AA21" s="110">
        <f t="shared" si="16"/>
        <v>1100</v>
      </c>
      <c r="AB21" s="145">
        <f t="shared" si="17"/>
        <v>-1100</v>
      </c>
      <c r="AC21" s="6"/>
      <c r="AF21" s="55"/>
      <c r="AG21" s="55"/>
      <c r="AH21" s="55"/>
      <c r="AI21" s="20"/>
    </row>
    <row r="22" spans="1:43" s="19" customFormat="1" ht="15.75" customHeight="1" outlineLevel="2" x14ac:dyDescent="0.25">
      <c r="A22" s="127" t="s">
        <v>67</v>
      </c>
      <c r="B22" s="106">
        <v>46209</v>
      </c>
      <c r="C22" s="124">
        <v>46212</v>
      </c>
      <c r="D22" s="148">
        <v>3</v>
      </c>
      <c r="E22" s="108">
        <v>6</v>
      </c>
      <c r="F22" s="108">
        <v>0</v>
      </c>
      <c r="G22" s="108">
        <v>0</v>
      </c>
      <c r="H22" s="108">
        <v>0</v>
      </c>
      <c r="I22" s="108">
        <v>0</v>
      </c>
      <c r="J22" s="109">
        <f t="shared" si="8"/>
        <v>6</v>
      </c>
      <c r="K22" s="110">
        <f t="shared" si="9"/>
        <v>660</v>
      </c>
      <c r="L22" s="9"/>
      <c r="M22" s="106"/>
      <c r="N22" s="141">
        <f t="shared" si="10"/>
        <v>-46212</v>
      </c>
      <c r="O22" s="148"/>
      <c r="P22" s="136"/>
      <c r="Q22" s="136"/>
      <c r="R22" s="136"/>
      <c r="S22" s="136"/>
      <c r="T22" s="136"/>
      <c r="U22" s="142">
        <f t="shared" si="11"/>
        <v>0</v>
      </c>
      <c r="V22" s="136">
        <f t="shared" si="12"/>
        <v>6</v>
      </c>
      <c r="W22" s="142">
        <f t="shared" si="13"/>
        <v>6</v>
      </c>
      <c r="X22" s="136" t="s">
        <v>34</v>
      </c>
      <c r="Y22" s="142">
        <f t="shared" si="14"/>
        <v>0</v>
      </c>
      <c r="Z22" s="110">
        <f t="shared" si="15"/>
        <v>0</v>
      </c>
      <c r="AA22" s="110">
        <f t="shared" si="16"/>
        <v>660</v>
      </c>
      <c r="AB22" s="145">
        <f t="shared" si="17"/>
        <v>-660</v>
      </c>
      <c r="AC22" s="6"/>
      <c r="AF22" s="55"/>
      <c r="AG22" s="55"/>
      <c r="AH22" s="55"/>
    </row>
    <row r="23" spans="1:43" s="19" customFormat="1" ht="15.75" customHeight="1" outlineLevel="2" x14ac:dyDescent="0.25">
      <c r="A23" s="127" t="s">
        <v>68</v>
      </c>
      <c r="B23" s="106">
        <v>46211</v>
      </c>
      <c r="C23" s="124">
        <v>46214</v>
      </c>
      <c r="D23" s="148">
        <v>5</v>
      </c>
      <c r="E23" s="108">
        <v>0</v>
      </c>
      <c r="F23" s="108">
        <v>0</v>
      </c>
      <c r="G23" s="108">
        <v>0</v>
      </c>
      <c r="H23" s="108">
        <v>6</v>
      </c>
      <c r="I23" s="108">
        <v>0</v>
      </c>
      <c r="J23" s="109">
        <f t="shared" si="8"/>
        <v>6</v>
      </c>
      <c r="K23" s="110">
        <f t="shared" si="9"/>
        <v>660</v>
      </c>
      <c r="L23" s="9"/>
      <c r="M23" s="106"/>
      <c r="N23" s="141">
        <f t="shared" si="10"/>
        <v>-46214</v>
      </c>
      <c r="O23" s="148"/>
      <c r="P23" s="136"/>
      <c r="Q23" s="136"/>
      <c r="R23" s="136"/>
      <c r="S23" s="136"/>
      <c r="T23" s="136"/>
      <c r="U23" s="142">
        <f t="shared" si="11"/>
        <v>0</v>
      </c>
      <c r="V23" s="136">
        <f t="shared" si="12"/>
        <v>6</v>
      </c>
      <c r="W23" s="142">
        <f t="shared" si="13"/>
        <v>6</v>
      </c>
      <c r="X23" s="136" t="s">
        <v>34</v>
      </c>
      <c r="Y23" s="142">
        <f t="shared" si="14"/>
        <v>0</v>
      </c>
      <c r="Z23" s="110">
        <f t="shared" si="15"/>
        <v>0</v>
      </c>
      <c r="AA23" s="110">
        <f t="shared" si="16"/>
        <v>660</v>
      </c>
      <c r="AB23" s="145">
        <f t="shared" si="17"/>
        <v>-660</v>
      </c>
      <c r="AC23" s="6"/>
      <c r="AF23" s="55"/>
      <c r="AG23" s="55"/>
      <c r="AH23" s="55"/>
    </row>
    <row r="24" spans="1:43" s="20" customFormat="1" ht="15.75" customHeight="1" outlineLevel="1" x14ac:dyDescent="0.25">
      <c r="A24" s="123" t="s">
        <v>69</v>
      </c>
      <c r="B24" s="106">
        <v>46213</v>
      </c>
      <c r="C24" s="124">
        <v>46216</v>
      </c>
      <c r="D24" s="125">
        <v>3</v>
      </c>
      <c r="E24" s="136">
        <v>0</v>
      </c>
      <c r="F24" s="136">
        <v>0</v>
      </c>
      <c r="G24" s="136">
        <v>8</v>
      </c>
      <c r="H24" s="136">
        <v>0</v>
      </c>
      <c r="I24" s="136">
        <v>0</v>
      </c>
      <c r="J24" s="109">
        <f t="shared" si="8"/>
        <v>8</v>
      </c>
      <c r="K24" s="110">
        <f t="shared" si="9"/>
        <v>880</v>
      </c>
      <c r="L24" s="9"/>
      <c r="M24" s="106"/>
      <c r="N24" s="141">
        <f t="shared" si="10"/>
        <v>-46216</v>
      </c>
      <c r="O24" s="125"/>
      <c r="P24" s="136"/>
      <c r="Q24" s="136"/>
      <c r="R24" s="136"/>
      <c r="S24" s="136"/>
      <c r="T24" s="136"/>
      <c r="U24" s="142">
        <f t="shared" si="11"/>
        <v>0</v>
      </c>
      <c r="V24" s="136">
        <f t="shared" si="12"/>
        <v>8</v>
      </c>
      <c r="W24" s="142">
        <f t="shared" si="13"/>
        <v>8</v>
      </c>
      <c r="X24" s="136" t="s">
        <v>34</v>
      </c>
      <c r="Y24" s="142">
        <f t="shared" si="14"/>
        <v>0</v>
      </c>
      <c r="Z24" s="110">
        <f t="shared" si="15"/>
        <v>0</v>
      </c>
      <c r="AA24" s="110">
        <f t="shared" si="16"/>
        <v>880</v>
      </c>
      <c r="AB24" s="145">
        <f t="shared" si="17"/>
        <v>-880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 x14ac:dyDescent="0.25">
      <c r="A25" s="127" t="s">
        <v>70</v>
      </c>
      <c r="B25" s="106">
        <v>46215</v>
      </c>
      <c r="C25" s="124">
        <v>46218</v>
      </c>
      <c r="D25" s="125">
        <v>3</v>
      </c>
      <c r="E25" s="108">
        <v>0</v>
      </c>
      <c r="F25" s="108">
        <v>0</v>
      </c>
      <c r="G25" s="108">
        <v>8</v>
      </c>
      <c r="H25" s="108">
        <v>0</v>
      </c>
      <c r="I25" s="108">
        <v>0</v>
      </c>
      <c r="J25" s="109">
        <f t="shared" si="8"/>
        <v>8</v>
      </c>
      <c r="K25" s="110">
        <f t="shared" si="9"/>
        <v>880</v>
      </c>
      <c r="L25" s="9"/>
      <c r="M25" s="106"/>
      <c r="N25" s="141">
        <f t="shared" si="10"/>
        <v>-46218</v>
      </c>
      <c r="O25" s="125"/>
      <c r="P25" s="136"/>
      <c r="Q25" s="136"/>
      <c r="R25" s="136"/>
      <c r="S25" s="136"/>
      <c r="T25" s="136"/>
      <c r="U25" s="142">
        <f t="shared" si="11"/>
        <v>0</v>
      </c>
      <c r="V25" s="136">
        <f t="shared" si="12"/>
        <v>8</v>
      </c>
      <c r="W25" s="142">
        <f t="shared" si="13"/>
        <v>8</v>
      </c>
      <c r="X25" s="136" t="s">
        <v>34</v>
      </c>
      <c r="Y25" s="142">
        <f t="shared" si="14"/>
        <v>0</v>
      </c>
      <c r="Z25" s="110">
        <f t="shared" si="15"/>
        <v>0</v>
      </c>
      <c r="AA25" s="110">
        <f t="shared" si="16"/>
        <v>880</v>
      </c>
      <c r="AB25" s="145">
        <f t="shared" si="17"/>
        <v>-880</v>
      </c>
      <c r="AC25" s="6"/>
      <c r="AF25" s="55"/>
      <c r="AG25" s="55"/>
      <c r="AH25" s="55"/>
      <c r="AI25" s="20"/>
    </row>
    <row r="26" spans="1:43" s="19" customFormat="1" ht="15.75" customHeight="1" outlineLevel="2" x14ac:dyDescent="0.25">
      <c r="A26" s="127" t="s">
        <v>71</v>
      </c>
      <c r="B26" s="106">
        <v>46217</v>
      </c>
      <c r="C26" s="124">
        <v>46220</v>
      </c>
      <c r="D26" s="125">
        <v>2</v>
      </c>
      <c r="E26" s="108">
        <v>0</v>
      </c>
      <c r="F26" s="108">
        <v>0</v>
      </c>
      <c r="G26" s="108">
        <v>0</v>
      </c>
      <c r="H26" s="108">
        <v>4</v>
      </c>
      <c r="I26" s="108">
        <v>0</v>
      </c>
      <c r="J26" s="109">
        <f t="shared" si="8"/>
        <v>4</v>
      </c>
      <c r="K26" s="110">
        <f t="shared" si="9"/>
        <v>440</v>
      </c>
      <c r="L26" s="9"/>
      <c r="M26" s="106"/>
      <c r="N26" s="141">
        <f t="shared" si="10"/>
        <v>-46220</v>
      </c>
      <c r="O26" s="125"/>
      <c r="P26" s="136"/>
      <c r="Q26" s="136"/>
      <c r="R26" s="136"/>
      <c r="S26" s="136"/>
      <c r="T26" s="136"/>
      <c r="U26" s="142">
        <f t="shared" si="11"/>
        <v>0</v>
      </c>
      <c r="V26" s="136">
        <f t="shared" si="12"/>
        <v>4</v>
      </c>
      <c r="W26" s="142">
        <f t="shared" si="13"/>
        <v>4</v>
      </c>
      <c r="X26" s="136" t="s">
        <v>34</v>
      </c>
      <c r="Y26" s="142">
        <f t="shared" si="14"/>
        <v>0</v>
      </c>
      <c r="Z26" s="110">
        <f t="shared" si="15"/>
        <v>0</v>
      </c>
      <c r="AA26" s="110">
        <f t="shared" si="16"/>
        <v>440</v>
      </c>
      <c r="AB26" s="145">
        <f t="shared" si="17"/>
        <v>-440</v>
      </c>
      <c r="AC26" s="6"/>
      <c r="AF26" s="55"/>
      <c r="AG26" s="55"/>
      <c r="AH26" s="55"/>
    </row>
    <row r="27" spans="1:43" s="19" customFormat="1" ht="15.75" customHeight="1" outlineLevel="2" x14ac:dyDescent="0.25">
      <c r="A27" s="127" t="s">
        <v>72</v>
      </c>
      <c r="B27" s="106">
        <v>46219</v>
      </c>
      <c r="C27" s="124">
        <v>46222</v>
      </c>
      <c r="D27" s="125">
        <v>2</v>
      </c>
      <c r="E27" s="108">
        <v>0</v>
      </c>
      <c r="F27" s="108">
        <v>0</v>
      </c>
      <c r="G27" s="108">
        <v>0</v>
      </c>
      <c r="H27" s="108">
        <v>4</v>
      </c>
      <c r="I27" s="108">
        <v>0</v>
      </c>
      <c r="J27" s="109">
        <f t="shared" si="8"/>
        <v>4</v>
      </c>
      <c r="K27" s="110">
        <f t="shared" si="9"/>
        <v>440</v>
      </c>
      <c r="L27" s="9"/>
      <c r="M27" s="106"/>
      <c r="N27" s="141">
        <f t="shared" si="10"/>
        <v>-46222</v>
      </c>
      <c r="O27" s="125"/>
      <c r="P27" s="136"/>
      <c r="Q27" s="136"/>
      <c r="R27" s="136"/>
      <c r="S27" s="136"/>
      <c r="T27" s="136"/>
      <c r="U27" s="142">
        <f t="shared" si="11"/>
        <v>0</v>
      </c>
      <c r="V27" s="136">
        <f t="shared" si="12"/>
        <v>4</v>
      </c>
      <c r="W27" s="142">
        <f t="shared" si="13"/>
        <v>4</v>
      </c>
      <c r="X27" s="136" t="s">
        <v>34</v>
      </c>
      <c r="Y27" s="142">
        <f t="shared" si="14"/>
        <v>0</v>
      </c>
      <c r="Z27" s="110">
        <f t="shared" si="15"/>
        <v>0</v>
      </c>
      <c r="AA27" s="110">
        <f t="shared" si="16"/>
        <v>440</v>
      </c>
      <c r="AB27" s="145">
        <f t="shared" si="17"/>
        <v>-440</v>
      </c>
      <c r="AC27" s="6"/>
      <c r="AF27" s="55"/>
      <c r="AG27" s="55"/>
      <c r="AH27" s="55"/>
    </row>
    <row r="28" spans="1:43" s="20" customFormat="1" ht="15.75" customHeight="1" outlineLevel="1" x14ac:dyDescent="0.25">
      <c r="A28" s="123" t="s">
        <v>73</v>
      </c>
      <c r="B28" s="106">
        <v>46221</v>
      </c>
      <c r="C28" s="124">
        <v>46224</v>
      </c>
      <c r="D28" s="125">
        <v>5</v>
      </c>
      <c r="E28" s="136">
        <v>0</v>
      </c>
      <c r="F28" s="136">
        <v>12</v>
      </c>
      <c r="G28" s="136">
        <v>0</v>
      </c>
      <c r="H28" s="136">
        <v>0</v>
      </c>
      <c r="I28" s="136">
        <v>0</v>
      </c>
      <c r="J28" s="109">
        <f t="shared" si="8"/>
        <v>12</v>
      </c>
      <c r="K28" s="110">
        <f t="shared" si="9"/>
        <v>1320</v>
      </c>
      <c r="L28" s="9"/>
      <c r="M28" s="106"/>
      <c r="N28" s="141">
        <f t="shared" si="10"/>
        <v>-46224</v>
      </c>
      <c r="O28" s="125"/>
      <c r="P28" s="136"/>
      <c r="Q28" s="136"/>
      <c r="R28" s="136"/>
      <c r="S28" s="136"/>
      <c r="T28" s="136"/>
      <c r="U28" s="142">
        <f t="shared" si="11"/>
        <v>0</v>
      </c>
      <c r="V28" s="136">
        <f t="shared" si="12"/>
        <v>12</v>
      </c>
      <c r="W28" s="142">
        <f t="shared" si="13"/>
        <v>12</v>
      </c>
      <c r="X28" s="136" t="s">
        <v>34</v>
      </c>
      <c r="Y28" s="142">
        <f t="shared" si="14"/>
        <v>0</v>
      </c>
      <c r="Z28" s="110">
        <f t="shared" si="15"/>
        <v>0</v>
      </c>
      <c r="AA28" s="110">
        <f t="shared" si="16"/>
        <v>1320</v>
      </c>
      <c r="AB28" s="145">
        <f t="shared" si="17"/>
        <v>-1320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 x14ac:dyDescent="0.25">
      <c r="A29" s="127" t="s">
        <v>74</v>
      </c>
      <c r="B29" s="106">
        <v>46223</v>
      </c>
      <c r="C29" s="124">
        <v>46226</v>
      </c>
      <c r="D29" s="125">
        <v>3</v>
      </c>
      <c r="E29" s="108">
        <v>0</v>
      </c>
      <c r="F29" s="108">
        <v>0</v>
      </c>
      <c r="G29" s="108">
        <v>0</v>
      </c>
      <c r="H29" s="108">
        <v>6</v>
      </c>
      <c r="I29" s="108">
        <v>0</v>
      </c>
      <c r="J29" s="109">
        <f t="shared" si="8"/>
        <v>6</v>
      </c>
      <c r="K29" s="110">
        <f t="shared" si="9"/>
        <v>660</v>
      </c>
      <c r="L29" s="9"/>
      <c r="M29" s="106"/>
      <c r="N29" s="141">
        <f t="shared" si="10"/>
        <v>-46226</v>
      </c>
      <c r="O29" s="125"/>
      <c r="P29" s="136"/>
      <c r="Q29" s="136"/>
      <c r="R29" s="136"/>
      <c r="S29" s="136"/>
      <c r="T29" s="136"/>
      <c r="U29" s="142">
        <f t="shared" si="11"/>
        <v>0</v>
      </c>
      <c r="V29" s="136">
        <f t="shared" si="12"/>
        <v>6</v>
      </c>
      <c r="W29" s="142">
        <f t="shared" si="13"/>
        <v>6</v>
      </c>
      <c r="X29" s="136" t="s">
        <v>34</v>
      </c>
      <c r="Y29" s="142">
        <f t="shared" si="14"/>
        <v>0</v>
      </c>
      <c r="Z29" s="110">
        <f t="shared" si="15"/>
        <v>0</v>
      </c>
      <c r="AA29" s="110">
        <f t="shared" si="16"/>
        <v>660</v>
      </c>
      <c r="AB29" s="145">
        <f t="shared" si="17"/>
        <v>-660</v>
      </c>
      <c r="AC29" s="6"/>
      <c r="AF29" s="55"/>
      <c r="AG29" s="55"/>
      <c r="AH29" s="55"/>
      <c r="AI29" s="20"/>
    </row>
    <row r="30" spans="1:43" s="19" customFormat="1" ht="15.75" customHeight="1" outlineLevel="2" x14ac:dyDescent="0.25">
      <c r="A30" s="127" t="s">
        <v>75</v>
      </c>
      <c r="B30" s="106">
        <v>46225</v>
      </c>
      <c r="C30" s="124">
        <v>46228</v>
      </c>
      <c r="D30" s="125">
        <v>3</v>
      </c>
      <c r="E30" s="108">
        <v>0</v>
      </c>
      <c r="F30" s="108">
        <v>0</v>
      </c>
      <c r="G30" s="108">
        <v>0</v>
      </c>
      <c r="H30" s="108">
        <v>0</v>
      </c>
      <c r="I30" s="108">
        <v>6</v>
      </c>
      <c r="J30" s="109">
        <f t="shared" si="8"/>
        <v>6</v>
      </c>
      <c r="K30" s="110">
        <f t="shared" si="9"/>
        <v>660</v>
      </c>
      <c r="L30" s="9"/>
      <c r="M30" s="106"/>
      <c r="N30" s="141">
        <f t="shared" si="10"/>
        <v>-46228</v>
      </c>
      <c r="O30" s="125"/>
      <c r="P30" s="136"/>
      <c r="Q30" s="136"/>
      <c r="R30" s="136"/>
      <c r="S30" s="136"/>
      <c r="T30" s="136"/>
      <c r="U30" s="142">
        <f t="shared" si="11"/>
        <v>0</v>
      </c>
      <c r="V30" s="136">
        <f t="shared" si="12"/>
        <v>6</v>
      </c>
      <c r="W30" s="142">
        <f t="shared" si="13"/>
        <v>6</v>
      </c>
      <c r="X30" s="136" t="s">
        <v>34</v>
      </c>
      <c r="Y30" s="142">
        <f t="shared" si="14"/>
        <v>0</v>
      </c>
      <c r="Z30" s="110">
        <f t="shared" si="15"/>
        <v>0</v>
      </c>
      <c r="AA30" s="110">
        <f t="shared" si="16"/>
        <v>660</v>
      </c>
      <c r="AB30" s="145">
        <f t="shared" si="17"/>
        <v>-660</v>
      </c>
      <c r="AC30" s="6"/>
      <c r="AF30" s="55"/>
      <c r="AG30" s="55"/>
      <c r="AH30" s="55"/>
    </row>
    <row r="31" spans="1:43" s="19" customFormat="1" ht="15.75" customHeight="1" outlineLevel="2" x14ac:dyDescent="0.25">
      <c r="A31" s="127" t="s">
        <v>76</v>
      </c>
      <c r="B31" s="106">
        <v>46227</v>
      </c>
      <c r="C31" s="124">
        <v>46230</v>
      </c>
      <c r="D31" s="125">
        <v>3</v>
      </c>
      <c r="E31" s="108">
        <v>0</v>
      </c>
      <c r="F31" s="108">
        <v>8</v>
      </c>
      <c r="G31" s="108">
        <v>0</v>
      </c>
      <c r="H31" s="108">
        <v>0</v>
      </c>
      <c r="I31" s="108">
        <v>0</v>
      </c>
      <c r="J31" s="109">
        <f t="shared" si="8"/>
        <v>8</v>
      </c>
      <c r="K31" s="110">
        <f t="shared" si="9"/>
        <v>880</v>
      </c>
      <c r="L31" s="9"/>
      <c r="M31" s="106"/>
      <c r="N31" s="141">
        <f t="shared" si="10"/>
        <v>-46230</v>
      </c>
      <c r="O31" s="125"/>
      <c r="P31" s="136"/>
      <c r="Q31" s="136"/>
      <c r="R31" s="136"/>
      <c r="S31" s="136"/>
      <c r="T31" s="136"/>
      <c r="U31" s="142">
        <f t="shared" si="11"/>
        <v>0</v>
      </c>
      <c r="V31" s="136">
        <f t="shared" si="12"/>
        <v>8</v>
      </c>
      <c r="W31" s="142">
        <f t="shared" si="13"/>
        <v>8</v>
      </c>
      <c r="X31" s="136" t="s">
        <v>34</v>
      </c>
      <c r="Y31" s="142">
        <f t="shared" si="14"/>
        <v>0</v>
      </c>
      <c r="Z31" s="110">
        <f t="shared" si="15"/>
        <v>0</v>
      </c>
      <c r="AA31" s="110">
        <f t="shared" si="16"/>
        <v>880</v>
      </c>
      <c r="AB31" s="145">
        <f t="shared" si="17"/>
        <v>-880</v>
      </c>
      <c r="AC31" s="6"/>
      <c r="AF31" s="55"/>
      <c r="AG31" s="55"/>
      <c r="AH31" s="55"/>
    </row>
    <row r="32" spans="1:43" s="20" customFormat="1" ht="15.75" customHeight="1" outlineLevel="1" x14ac:dyDescent="0.25">
      <c r="A32" s="123" t="s">
        <v>77</v>
      </c>
      <c r="B32" s="106">
        <v>46229</v>
      </c>
      <c r="C32" s="124">
        <v>46232</v>
      </c>
      <c r="D32" s="125">
        <v>5</v>
      </c>
      <c r="E32" s="136">
        <v>0</v>
      </c>
      <c r="F32" s="136">
        <v>0</v>
      </c>
      <c r="G32" s="136">
        <v>0</v>
      </c>
      <c r="H32" s="136">
        <v>0</v>
      </c>
      <c r="I32" s="136">
        <v>10</v>
      </c>
      <c r="J32" s="109">
        <f t="shared" si="8"/>
        <v>10</v>
      </c>
      <c r="K32" s="110">
        <f t="shared" si="9"/>
        <v>1100</v>
      </c>
      <c r="L32" s="9"/>
      <c r="M32" s="106"/>
      <c r="N32" s="141">
        <f t="shared" si="10"/>
        <v>-46232</v>
      </c>
      <c r="O32" s="125"/>
      <c r="P32" s="136"/>
      <c r="Q32" s="136"/>
      <c r="R32" s="136"/>
      <c r="S32" s="136"/>
      <c r="T32" s="136"/>
      <c r="U32" s="142">
        <f t="shared" si="11"/>
        <v>0</v>
      </c>
      <c r="V32" s="136">
        <f t="shared" si="12"/>
        <v>10</v>
      </c>
      <c r="W32" s="142">
        <f t="shared" si="13"/>
        <v>10</v>
      </c>
      <c r="X32" s="136" t="s">
        <v>34</v>
      </c>
      <c r="Y32" s="142">
        <f t="shared" si="14"/>
        <v>0</v>
      </c>
      <c r="Z32" s="110">
        <f t="shared" si="15"/>
        <v>0</v>
      </c>
      <c r="AA32" s="110">
        <f t="shared" si="16"/>
        <v>1100</v>
      </c>
      <c r="AB32" s="145">
        <f t="shared" si="17"/>
        <v>-1100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 x14ac:dyDescent="0.25">
      <c r="A33" s="127" t="s">
        <v>78</v>
      </c>
      <c r="B33" s="106">
        <v>46231</v>
      </c>
      <c r="C33" s="124">
        <v>46234</v>
      </c>
      <c r="D33" s="125">
        <v>3</v>
      </c>
      <c r="E33" s="108">
        <v>0</v>
      </c>
      <c r="F33" s="108">
        <v>0</v>
      </c>
      <c r="G33" s="108">
        <v>6</v>
      </c>
      <c r="H33" s="108">
        <v>0</v>
      </c>
      <c r="I33" s="108">
        <v>0</v>
      </c>
      <c r="J33" s="109">
        <f t="shared" si="8"/>
        <v>6</v>
      </c>
      <c r="K33" s="110">
        <f t="shared" si="9"/>
        <v>660</v>
      </c>
      <c r="L33" s="9"/>
      <c r="M33" s="106"/>
      <c r="N33" s="141">
        <f t="shared" si="10"/>
        <v>-46234</v>
      </c>
      <c r="O33" s="125"/>
      <c r="P33" s="136"/>
      <c r="Q33" s="136"/>
      <c r="R33" s="136"/>
      <c r="S33" s="136"/>
      <c r="T33" s="136"/>
      <c r="U33" s="142">
        <f t="shared" si="11"/>
        <v>0</v>
      </c>
      <c r="V33" s="136">
        <f t="shared" si="12"/>
        <v>6</v>
      </c>
      <c r="W33" s="142">
        <f t="shared" si="13"/>
        <v>6</v>
      </c>
      <c r="X33" s="136" t="s">
        <v>34</v>
      </c>
      <c r="Y33" s="142">
        <f t="shared" si="14"/>
        <v>0</v>
      </c>
      <c r="Z33" s="110">
        <f t="shared" si="15"/>
        <v>0</v>
      </c>
      <c r="AA33" s="110">
        <f t="shared" si="16"/>
        <v>660</v>
      </c>
      <c r="AB33" s="145">
        <f t="shared" si="17"/>
        <v>-660</v>
      </c>
      <c r="AC33" s="6"/>
      <c r="AF33" s="55"/>
      <c r="AG33" s="55"/>
      <c r="AH33" s="55"/>
      <c r="AI33" s="20"/>
    </row>
    <row r="34" spans="1:43" s="19" customFormat="1" ht="15.75" customHeight="1" outlineLevel="2" x14ac:dyDescent="0.25">
      <c r="A34" s="127" t="s">
        <v>79</v>
      </c>
      <c r="B34" s="106">
        <v>46233</v>
      </c>
      <c r="C34" s="124">
        <v>46236</v>
      </c>
      <c r="D34" s="125"/>
      <c r="E34" s="108">
        <v>4</v>
      </c>
      <c r="F34" s="108">
        <v>4</v>
      </c>
      <c r="G34" s="108">
        <v>4</v>
      </c>
      <c r="H34" s="108">
        <v>4</v>
      </c>
      <c r="I34" s="108">
        <v>4</v>
      </c>
      <c r="J34" s="109">
        <f t="shared" si="8"/>
        <v>20</v>
      </c>
      <c r="K34" s="110">
        <f t="shared" si="9"/>
        <v>2200</v>
      </c>
      <c r="L34" s="9"/>
      <c r="M34" s="106"/>
      <c r="N34" s="141">
        <f t="shared" si="10"/>
        <v>-46236</v>
      </c>
      <c r="O34" s="125"/>
      <c r="P34" s="136"/>
      <c r="Q34" s="136"/>
      <c r="R34" s="136"/>
      <c r="S34" s="136"/>
      <c r="T34" s="136"/>
      <c r="U34" s="142">
        <f t="shared" si="11"/>
        <v>0</v>
      </c>
      <c r="V34" s="136">
        <f t="shared" si="12"/>
        <v>20</v>
      </c>
      <c r="W34" s="142">
        <f t="shared" si="13"/>
        <v>20</v>
      </c>
      <c r="X34" s="136" t="s">
        <v>34</v>
      </c>
      <c r="Y34" s="142">
        <f t="shared" si="14"/>
        <v>0</v>
      </c>
      <c r="Z34" s="110">
        <f t="shared" si="15"/>
        <v>0</v>
      </c>
      <c r="AA34" s="110">
        <f t="shared" si="16"/>
        <v>2200</v>
      </c>
      <c r="AB34" s="145">
        <f t="shared" si="17"/>
        <v>-2200</v>
      </c>
      <c r="AC34" s="6"/>
      <c r="AF34" s="55"/>
      <c r="AG34" s="55"/>
      <c r="AH34" s="55"/>
    </row>
    <row r="35" spans="1:43" s="19" customFormat="1" ht="15.75" customHeight="1" outlineLevel="2" x14ac:dyDescent="0.25">
      <c r="A35" s="127"/>
      <c r="B35" s="106"/>
      <c r="C35" s="124"/>
      <c r="D35" s="125"/>
      <c r="E35" s="108"/>
      <c r="F35" s="108"/>
      <c r="G35" s="108"/>
      <c r="H35" s="108"/>
      <c r="I35" s="108"/>
      <c r="J35" s="109">
        <f t="shared" si="8"/>
        <v>0</v>
      </c>
      <c r="K35" s="110">
        <f t="shared" si="9"/>
        <v>0</v>
      </c>
      <c r="L35" s="9"/>
      <c r="M35" s="106"/>
      <c r="N35" s="141">
        <f t="shared" si="10"/>
        <v>0</v>
      </c>
      <c r="O35" s="125"/>
      <c r="P35" s="136"/>
      <c r="Q35" s="136"/>
      <c r="R35" s="136"/>
      <c r="S35" s="136"/>
      <c r="T35" s="136"/>
      <c r="U35" s="142">
        <f t="shared" si="11"/>
        <v>0</v>
      </c>
      <c r="V35" s="136">
        <f t="shared" si="12"/>
        <v>0</v>
      </c>
      <c r="W35" s="142">
        <f t="shared" si="13"/>
        <v>0</v>
      </c>
      <c r="X35" s="136" t="s">
        <v>34</v>
      </c>
      <c r="Y35" s="142">
        <f t="shared" si="14"/>
        <v>0</v>
      </c>
      <c r="Z35" s="110">
        <f t="shared" si="15"/>
        <v>0</v>
      </c>
      <c r="AA35" s="110">
        <f t="shared" si="16"/>
        <v>0</v>
      </c>
      <c r="AB35" s="145">
        <f t="shared" si="17"/>
        <v>0</v>
      </c>
      <c r="AC35" s="6"/>
      <c r="AF35" s="55"/>
      <c r="AG35" s="55"/>
      <c r="AH35" s="55"/>
    </row>
    <row r="36" spans="1:43" s="19" customFormat="1" ht="15.75" customHeight="1" outlineLevel="1" x14ac:dyDescent="0.25">
      <c r="A36" s="123"/>
      <c r="B36" s="106"/>
      <c r="C36" s="124"/>
      <c r="D36" s="125"/>
      <c r="E36" s="108"/>
      <c r="F36" s="108"/>
      <c r="G36" s="108"/>
      <c r="H36" s="108"/>
      <c r="I36" s="108"/>
      <c r="J36" s="109">
        <f t="shared" si="8"/>
        <v>0</v>
      </c>
      <c r="K36" s="110">
        <f t="shared" si="9"/>
        <v>0</v>
      </c>
      <c r="L36" s="9"/>
      <c r="M36" s="106"/>
      <c r="N36" s="141">
        <f t="shared" si="10"/>
        <v>0</v>
      </c>
      <c r="O36" s="125"/>
      <c r="P36" s="136"/>
      <c r="Q36" s="136"/>
      <c r="R36" s="136"/>
      <c r="S36" s="136"/>
      <c r="T36" s="136"/>
      <c r="U36" s="142">
        <f t="shared" si="11"/>
        <v>0</v>
      </c>
      <c r="V36" s="136">
        <f t="shared" si="12"/>
        <v>0</v>
      </c>
      <c r="W36" s="142">
        <f t="shared" si="13"/>
        <v>0</v>
      </c>
      <c r="X36" s="136" t="s">
        <v>34</v>
      </c>
      <c r="Y36" s="142">
        <f t="shared" si="14"/>
        <v>0</v>
      </c>
      <c r="Z36" s="110">
        <f t="shared" si="15"/>
        <v>0</v>
      </c>
      <c r="AA36" s="110">
        <f t="shared" si="16"/>
        <v>0</v>
      </c>
      <c r="AB36" s="145">
        <f t="shared" si="17"/>
        <v>0</v>
      </c>
      <c r="AC36" s="6"/>
      <c r="AF36" s="55"/>
      <c r="AG36" s="55"/>
      <c r="AH36" s="55"/>
    </row>
    <row r="37" spans="1:43" s="31" customFormat="1" ht="15.75" customHeight="1" x14ac:dyDescent="0.25">
      <c r="A37" s="45" t="s">
        <v>80</v>
      </c>
      <c r="B37" s="46">
        <f>MIN(B19:B36)</f>
        <v>46203</v>
      </c>
      <c r="C37" s="46">
        <f>MAX(C19:C36)</f>
        <v>46236</v>
      </c>
      <c r="D37" s="47">
        <f>SUM(D19:D34)</f>
        <v>49</v>
      </c>
      <c r="E37" s="85">
        <f t="shared" ref="E37:J37" si="18">SUM(E19:E36)</f>
        <v>36</v>
      </c>
      <c r="F37" s="85">
        <f t="shared" si="18"/>
        <v>24</v>
      </c>
      <c r="G37" s="85">
        <f t="shared" si="18"/>
        <v>26</v>
      </c>
      <c r="H37" s="85">
        <f t="shared" si="18"/>
        <v>24</v>
      </c>
      <c r="I37" s="85">
        <f t="shared" si="18"/>
        <v>20</v>
      </c>
      <c r="J37" s="85">
        <f t="shared" si="18"/>
        <v>130</v>
      </c>
      <c r="K37" s="70">
        <f t="shared" si="9"/>
        <v>14300</v>
      </c>
      <c r="L37" s="49"/>
      <c r="M37" s="46">
        <f>MAX(M19:M36)</f>
        <v>0</v>
      </c>
      <c r="N37" s="48">
        <f t="shared" si="10"/>
        <v>-46236</v>
      </c>
      <c r="O37" s="47">
        <f>SUM(O21:O23)</f>
        <v>0</v>
      </c>
      <c r="P37" s="48">
        <f>SUM(P19:P19)</f>
        <v>0</v>
      </c>
      <c r="Q37" s="48">
        <f>SUM(Q19:Q19)</f>
        <v>0</v>
      </c>
      <c r="R37" s="48">
        <f>SUM(R19:R19)</f>
        <v>0</v>
      </c>
      <c r="S37" s="48">
        <f>SUM(S19:S19)</f>
        <v>0</v>
      </c>
      <c r="T37" s="48">
        <f>SUM(T19:T19)</f>
        <v>0</v>
      </c>
      <c r="U37" s="48">
        <f>SUM(U19:U36)</f>
        <v>0</v>
      </c>
      <c r="V37" s="48">
        <f>SUM(V19:V36)</f>
        <v>130</v>
      </c>
      <c r="W37" s="48">
        <f>SUM(W19:W36)</f>
        <v>130</v>
      </c>
      <c r="X37" s="48"/>
      <c r="Y37" s="48">
        <f>SUM(Y19:Y19)</f>
        <v>0</v>
      </c>
      <c r="Z37" s="70">
        <f t="shared" si="15"/>
        <v>0</v>
      </c>
      <c r="AA37" s="70">
        <f t="shared" si="16"/>
        <v>14300</v>
      </c>
      <c r="AB37" s="70">
        <f t="shared" si="17"/>
        <v>-14300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5" customHeight="1" x14ac:dyDescent="0.25">
      <c r="A38" s="128" t="s">
        <v>81</v>
      </c>
      <c r="B38" s="129"/>
      <c r="C38" s="129"/>
      <c r="D38" s="130"/>
      <c r="E38" s="131"/>
      <c r="F38" s="131"/>
      <c r="G38" s="131"/>
      <c r="H38" s="131"/>
      <c r="I38" s="131"/>
      <c r="J38" s="131"/>
      <c r="K38" s="77"/>
      <c r="L38" s="51"/>
      <c r="M38" s="203"/>
      <c r="N38" s="201"/>
      <c r="O38" s="146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77"/>
      <c r="AA38" s="77"/>
      <c r="AB38" s="77"/>
      <c r="AC38" s="52"/>
      <c r="AE38" s="37"/>
      <c r="AF38" s="157"/>
      <c r="AG38" s="157"/>
      <c r="AH38" s="157"/>
      <c r="AI38" s="37"/>
    </row>
    <row r="39" spans="1:43" s="19" customFormat="1" ht="14" customHeight="1" outlineLevel="1" x14ac:dyDescent="0.25">
      <c r="A39" s="132" t="s">
        <v>82</v>
      </c>
      <c r="B39" s="106">
        <v>46237</v>
      </c>
      <c r="C39" s="124">
        <v>46238</v>
      </c>
      <c r="D39" s="125" t="s">
        <v>33</v>
      </c>
      <c r="E39" s="108">
        <v>1</v>
      </c>
      <c r="F39" s="108">
        <v>1</v>
      </c>
      <c r="G39" s="108">
        <v>1</v>
      </c>
      <c r="H39" s="108">
        <v>1</v>
      </c>
      <c r="I39" s="108">
        <v>1</v>
      </c>
      <c r="J39" s="109">
        <f>SUM(E39:I39)</f>
        <v>5</v>
      </c>
      <c r="K39" s="110">
        <f>tarif*J39</f>
        <v>550</v>
      </c>
      <c r="L39" s="13"/>
      <c r="M39" s="106"/>
      <c r="N39" s="141">
        <f>M39-C39</f>
        <v>-46238</v>
      </c>
      <c r="O39" s="125" t="s">
        <v>33</v>
      </c>
      <c r="P39" s="136"/>
      <c r="Q39" s="136"/>
      <c r="R39" s="136"/>
      <c r="S39" s="136"/>
      <c r="T39" s="136"/>
      <c r="U39" s="109">
        <f>SUM(P39:T39)</f>
        <v>0</v>
      </c>
      <c r="V39" s="136">
        <f>J39-U39</f>
        <v>5</v>
      </c>
      <c r="W39" s="142">
        <f>U39+V39</f>
        <v>5</v>
      </c>
      <c r="X39" s="136" t="s">
        <v>34</v>
      </c>
      <c r="Y39" s="142">
        <f>(W39-J39)</f>
        <v>0</v>
      </c>
      <c r="Z39" s="110">
        <f>tarif*U39</f>
        <v>0</v>
      </c>
      <c r="AA39" s="110">
        <f>tarif*W39</f>
        <v>550</v>
      </c>
      <c r="AB39" s="145">
        <f>Z39-K39</f>
        <v>-550</v>
      </c>
      <c r="AC39" s="6"/>
      <c r="AE39" s="31"/>
      <c r="AF39" s="156"/>
      <c r="AG39" s="156"/>
      <c r="AH39" s="156"/>
      <c r="AI39" s="31"/>
    </row>
    <row r="40" spans="1:43" s="19" customFormat="1" ht="14" customHeight="1" outlineLevel="1" x14ac:dyDescent="0.25">
      <c r="A40" s="132" t="s">
        <v>83</v>
      </c>
      <c r="B40" s="106">
        <v>46238</v>
      </c>
      <c r="C40" s="124">
        <v>46240</v>
      </c>
      <c r="D40" s="125" t="s">
        <v>33</v>
      </c>
      <c r="E40" s="108">
        <v>3</v>
      </c>
      <c r="F40" s="108">
        <v>1</v>
      </c>
      <c r="G40" s="108">
        <v>1</v>
      </c>
      <c r="H40" s="108">
        <v>1</v>
      </c>
      <c r="I40" s="108">
        <v>1</v>
      </c>
      <c r="J40" s="109">
        <f>SUM(E40:I40)</f>
        <v>7</v>
      </c>
      <c r="K40" s="110">
        <f>tarif*J40</f>
        <v>770</v>
      </c>
      <c r="L40" s="13"/>
      <c r="M40" s="106"/>
      <c r="N40" s="141">
        <f>M40-C40</f>
        <v>-46240</v>
      </c>
      <c r="O40" s="125" t="s">
        <v>33</v>
      </c>
      <c r="P40" s="136"/>
      <c r="Q40" s="136"/>
      <c r="R40" s="136"/>
      <c r="S40" s="136"/>
      <c r="T40" s="136"/>
      <c r="U40" s="109">
        <f>SUM(P40:T40)</f>
        <v>0</v>
      </c>
      <c r="V40" s="136">
        <f>J40-U40</f>
        <v>7</v>
      </c>
      <c r="W40" s="142">
        <f>U40+V40</f>
        <v>7</v>
      </c>
      <c r="X40" s="136" t="s">
        <v>34</v>
      </c>
      <c r="Y40" s="142">
        <f>(W40-J40)</f>
        <v>0</v>
      </c>
      <c r="Z40" s="110">
        <f>tarif*U40</f>
        <v>0</v>
      </c>
      <c r="AA40" s="110">
        <f>tarif*W40</f>
        <v>770</v>
      </c>
      <c r="AB40" s="145">
        <f>Z40-K40</f>
        <v>-770</v>
      </c>
      <c r="AC40" s="6"/>
      <c r="AF40" s="55"/>
      <c r="AG40" s="55"/>
      <c r="AH40" s="55"/>
    </row>
    <row r="41" spans="1:43" s="19" customFormat="1" ht="14" customHeight="1" outlineLevel="1" x14ac:dyDescent="0.25">
      <c r="A41" s="132" t="s">
        <v>84</v>
      </c>
      <c r="B41" s="106">
        <v>46240</v>
      </c>
      <c r="C41" s="124">
        <v>46241</v>
      </c>
      <c r="D41" s="125" t="s">
        <v>33</v>
      </c>
      <c r="E41" s="108">
        <v>2</v>
      </c>
      <c r="F41" s="108">
        <v>0</v>
      </c>
      <c r="G41" s="108">
        <v>0</v>
      </c>
      <c r="H41" s="108">
        <v>0</v>
      </c>
      <c r="I41" s="108">
        <v>0</v>
      </c>
      <c r="J41" s="109">
        <f>SUM(E41:I41)</f>
        <v>2</v>
      </c>
      <c r="K41" s="110">
        <f>tarif*J41</f>
        <v>220</v>
      </c>
      <c r="L41" s="13"/>
      <c r="M41" s="106"/>
      <c r="N41" s="141">
        <f>M41-C41</f>
        <v>-46241</v>
      </c>
      <c r="O41" s="125" t="s">
        <v>33</v>
      </c>
      <c r="P41" s="136"/>
      <c r="Q41" s="136"/>
      <c r="R41" s="136"/>
      <c r="S41" s="136"/>
      <c r="T41" s="136"/>
      <c r="U41" s="109">
        <f>SUM(P41:T41)</f>
        <v>0</v>
      </c>
      <c r="V41" s="136">
        <f>J41-U41</f>
        <v>2</v>
      </c>
      <c r="W41" s="142">
        <f>U41+V41</f>
        <v>2</v>
      </c>
      <c r="X41" s="136" t="s">
        <v>34</v>
      </c>
      <c r="Y41" s="142">
        <f>(W41-J41)</f>
        <v>0</v>
      </c>
      <c r="Z41" s="110">
        <f>tarif*U41</f>
        <v>0</v>
      </c>
      <c r="AA41" s="110">
        <f>tarif*W41</f>
        <v>220</v>
      </c>
      <c r="AB41" s="145">
        <f>Z41-K41</f>
        <v>-220</v>
      </c>
      <c r="AC41" s="6"/>
      <c r="AF41" s="55"/>
      <c r="AG41" s="55"/>
      <c r="AH41" s="55"/>
    </row>
    <row r="42" spans="1:43" s="19" customFormat="1" ht="14" customHeight="1" outlineLevel="1" x14ac:dyDescent="0.25">
      <c r="A42" s="133" t="s">
        <v>85</v>
      </c>
      <c r="B42" s="124">
        <v>46244</v>
      </c>
      <c r="C42" s="106">
        <v>46246</v>
      </c>
      <c r="D42" s="117" t="s">
        <v>33</v>
      </c>
      <c r="E42" s="108">
        <v>3</v>
      </c>
      <c r="F42" s="108">
        <v>1</v>
      </c>
      <c r="G42" s="118">
        <v>1</v>
      </c>
      <c r="H42" s="108">
        <v>1</v>
      </c>
      <c r="I42" s="108">
        <v>1</v>
      </c>
      <c r="J42" s="109">
        <f>SUM(E42:I42)</f>
        <v>7</v>
      </c>
      <c r="K42" s="110">
        <f>tarif*J42</f>
        <v>770</v>
      </c>
      <c r="L42" s="13"/>
      <c r="M42" s="106"/>
      <c r="N42" s="141">
        <f>M42-C42</f>
        <v>-46246</v>
      </c>
      <c r="O42" s="117" t="s">
        <v>33</v>
      </c>
      <c r="P42" s="136"/>
      <c r="Q42" s="136"/>
      <c r="R42" s="136"/>
      <c r="S42" s="136"/>
      <c r="T42" s="136"/>
      <c r="U42" s="109">
        <f>SUM(P42:T42)</f>
        <v>0</v>
      </c>
      <c r="V42" s="136">
        <f>J42-U42</f>
        <v>7</v>
      </c>
      <c r="W42" s="142">
        <f>U42+V42</f>
        <v>7</v>
      </c>
      <c r="X42" s="136" t="s">
        <v>34</v>
      </c>
      <c r="Y42" s="142">
        <f>(W42-J42)</f>
        <v>0</v>
      </c>
      <c r="Z42" s="110">
        <f>tarif*U42</f>
        <v>0</v>
      </c>
      <c r="AA42" s="110">
        <f>tarif*W42</f>
        <v>770</v>
      </c>
      <c r="AB42" s="145">
        <f>Z42-K42</f>
        <v>-770</v>
      </c>
      <c r="AC42" s="6"/>
      <c r="AF42" s="55"/>
      <c r="AG42" s="55"/>
      <c r="AH42" s="55"/>
    </row>
    <row r="43" spans="1:43" s="31" customFormat="1" ht="14" customHeight="1" x14ac:dyDescent="0.25">
      <c r="A43" s="134" t="s">
        <v>86</v>
      </c>
      <c r="B43" s="61">
        <f>MIN(B39:B42)</f>
        <v>46237</v>
      </c>
      <c r="C43" s="61">
        <f>MAX(C39:C42)</f>
        <v>46246</v>
      </c>
      <c r="D43" s="62" t="s">
        <v>49</v>
      </c>
      <c r="E43" s="135">
        <f>SUM(E39:E42)</f>
        <v>9</v>
      </c>
      <c r="F43" s="135">
        <f>SUM(F39:F42)</f>
        <v>3</v>
      </c>
      <c r="G43" s="135">
        <f>SUM(G39:G42)</f>
        <v>3</v>
      </c>
      <c r="H43" s="135">
        <f>SUM(H39:H42)</f>
        <v>3</v>
      </c>
      <c r="I43" s="135">
        <f>SUM(I39:I42)</f>
        <v>3</v>
      </c>
      <c r="J43" s="135">
        <f>SUM(E43:I43)</f>
        <v>21</v>
      </c>
      <c r="K43" s="71">
        <f>tarif*J43</f>
        <v>2310</v>
      </c>
      <c r="L43" s="49"/>
      <c r="M43" s="61">
        <f>MAX(M39:M42)</f>
        <v>0</v>
      </c>
      <c r="N43" s="57">
        <f>M43-C43</f>
        <v>-46246</v>
      </c>
      <c r="O43" s="62" t="s">
        <v>49</v>
      </c>
      <c r="P43" s="57">
        <f t="shared" ref="P43:W43" si="19">SUM(P39:P42)</f>
        <v>0</v>
      </c>
      <c r="Q43" s="57">
        <f t="shared" si="19"/>
        <v>0</v>
      </c>
      <c r="R43" s="57">
        <f t="shared" si="19"/>
        <v>0</v>
      </c>
      <c r="S43" s="57">
        <f t="shared" si="19"/>
        <v>0</v>
      </c>
      <c r="T43" s="57">
        <f t="shared" si="19"/>
        <v>0</v>
      </c>
      <c r="U43" s="57">
        <f t="shared" si="19"/>
        <v>0</v>
      </c>
      <c r="V43" s="57">
        <f t="shared" si="19"/>
        <v>21</v>
      </c>
      <c r="W43" s="57">
        <f t="shared" si="19"/>
        <v>21</v>
      </c>
      <c r="X43" s="57"/>
      <c r="Y43" s="57">
        <f>SUM(Y39:Y42)</f>
        <v>0</v>
      </c>
      <c r="Z43" s="71">
        <f>tarif*U43</f>
        <v>0</v>
      </c>
      <c r="AA43" s="71">
        <f>tarif*W43</f>
        <v>2310</v>
      </c>
      <c r="AB43" s="71">
        <f>Z43-K43</f>
        <v>-2310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4" customHeight="1" x14ac:dyDescent="0.25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7"/>
      <c r="AG44" s="157"/>
      <c r="AH44" s="157"/>
      <c r="AI44" s="37"/>
    </row>
    <row r="45" spans="1:43" s="11" customFormat="1" ht="17" customHeight="1" x14ac:dyDescent="0.25">
      <c r="A45" s="23" t="s">
        <v>25</v>
      </c>
      <c r="B45" s="24">
        <f>MIN(B11,B17,B37,B43)</f>
        <v>46188</v>
      </c>
      <c r="C45" s="25">
        <f>MAX(C11,C17,C37,C43)</f>
        <v>46246</v>
      </c>
      <c r="D45" s="26">
        <f>D37</f>
        <v>49</v>
      </c>
      <c r="E45" s="87">
        <f t="shared" ref="E45:J45" si="20">E11+E17+E37+E43</f>
        <v>68</v>
      </c>
      <c r="F45" s="87">
        <f t="shared" si="20"/>
        <v>40</v>
      </c>
      <c r="G45" s="87">
        <f t="shared" si="20"/>
        <v>42</v>
      </c>
      <c r="H45" s="87">
        <f t="shared" si="20"/>
        <v>40</v>
      </c>
      <c r="I45" s="88">
        <f t="shared" si="20"/>
        <v>38</v>
      </c>
      <c r="J45" s="89">
        <f t="shared" si="20"/>
        <v>228</v>
      </c>
      <c r="K45" s="73">
        <f>tarif*J45</f>
        <v>25080</v>
      </c>
      <c r="L45" s="27"/>
      <c r="M45" s="64">
        <f>MAX(M11,M17,M37,M43)</f>
        <v>0</v>
      </c>
      <c r="N45" s="65">
        <f>M45-C45</f>
        <v>-46246</v>
      </c>
      <c r="O45" s="26">
        <f>O37</f>
        <v>0</v>
      </c>
      <c r="P45" s="58">
        <f t="shared" ref="P45:W45" si="21">P11+P17+P37+P43</f>
        <v>0</v>
      </c>
      <c r="Q45" s="58">
        <f t="shared" si="21"/>
        <v>0</v>
      </c>
      <c r="R45" s="58">
        <f t="shared" si="21"/>
        <v>0</v>
      </c>
      <c r="S45" s="58">
        <f t="shared" si="21"/>
        <v>0</v>
      </c>
      <c r="T45" s="58">
        <f t="shared" si="21"/>
        <v>0</v>
      </c>
      <c r="U45" s="58">
        <f t="shared" si="21"/>
        <v>0</v>
      </c>
      <c r="V45" s="58">
        <f t="shared" si="21"/>
        <v>228</v>
      </c>
      <c r="W45" s="58">
        <f t="shared" si="21"/>
        <v>228</v>
      </c>
      <c r="X45" s="58"/>
      <c r="Y45" s="58">
        <f>Y11+Y17+Y37+Y43</f>
        <v>0</v>
      </c>
      <c r="Z45" s="73">
        <f>Z11+Z17+Z37+Z43</f>
        <v>0</v>
      </c>
      <c r="AA45" s="73">
        <f>AA11+AA17+AA37+AA43</f>
        <v>25080</v>
      </c>
      <c r="AB45" s="73">
        <f>Z45-K45</f>
        <v>-25080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ht="16" customHeight="1" x14ac:dyDescent="0.25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3" customHeight="1" x14ac:dyDescent="0.25">
      <c r="A47" s="80" t="s">
        <v>87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3" customHeight="1" x14ac:dyDescent="0.25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3" customHeight="1" x14ac:dyDescent="0.25">
      <c r="A49" s="92" t="s">
        <v>88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3" customHeight="1" x14ac:dyDescent="0.25">
      <c r="A50" s="149" t="s">
        <v>34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3" customHeight="1" x14ac:dyDescent="0.25">
      <c r="A51" s="150" t="s">
        <v>89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3" customHeight="1" x14ac:dyDescent="0.25">
      <c r="A52" s="151" t="s">
        <v>90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3" customHeight="1" x14ac:dyDescent="0.25">
      <c r="A53" s="152" t="s">
        <v>91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3" customHeight="1" x14ac:dyDescent="0.25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3" customHeight="1" x14ac:dyDescent="0.25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3" customHeight="1" x14ac:dyDescent="0.25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3" customHeight="1" x14ac:dyDescent="0.25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3" customHeight="1" x14ac:dyDescent="0.25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3" customHeight="1" x14ac:dyDescent="0.25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3" customHeight="1" x14ac:dyDescent="0.25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3" customHeight="1" x14ac:dyDescent="0.25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3" customHeight="1" x14ac:dyDescent="0.25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3" customHeight="1" x14ac:dyDescent="0.25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3" customHeight="1" x14ac:dyDescent="0.25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3" customHeight="1" x14ac:dyDescent="0.25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3" customHeight="1" x14ac:dyDescent="0.25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3" customHeight="1" x14ac:dyDescent="0.25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3" customHeight="1" x14ac:dyDescent="0.25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3" customHeight="1" x14ac:dyDescent="0.25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3" customHeight="1" x14ac:dyDescent="0.25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3" customHeight="1" x14ac:dyDescent="0.25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3" customHeight="1" x14ac:dyDescent="0.25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3" customHeight="1" x14ac:dyDescent="0.25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3" customHeight="1" x14ac:dyDescent="0.25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3" customHeight="1" x14ac:dyDescent="0.25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3" customHeight="1" x14ac:dyDescent="0.25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3" customHeight="1" x14ac:dyDescent="0.25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3" customHeight="1" x14ac:dyDescent="0.25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3" customHeight="1" x14ac:dyDescent="0.25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3" customHeight="1" x14ac:dyDescent="0.25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3" customHeight="1" x14ac:dyDescent="0.25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3" customHeight="1" x14ac:dyDescent="0.25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3" customHeight="1" x14ac:dyDescent="0.25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3" customHeight="1" x14ac:dyDescent="0.25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3" customHeight="1" x14ac:dyDescent="0.25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3" customHeight="1" x14ac:dyDescent="0.25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3" customHeight="1" x14ac:dyDescent="0.25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3" customHeight="1" x14ac:dyDescent="0.25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3" customHeight="1" x14ac:dyDescent="0.25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3" customHeight="1" x14ac:dyDescent="0.25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3" customHeight="1" x14ac:dyDescent="0.25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3" customHeight="1" x14ac:dyDescent="0.25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3" customHeight="1" x14ac:dyDescent="0.25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3" customHeight="1" x14ac:dyDescent="0.25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3" customHeight="1" x14ac:dyDescent="0.25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3" customHeight="1" x14ac:dyDescent="0.25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3" customHeight="1" x14ac:dyDescent="0.25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3" customHeight="1" x14ac:dyDescent="0.25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3" customHeight="1" x14ac:dyDescent="0.25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3" customHeight="1" x14ac:dyDescent="0.25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3" customHeight="1" x14ac:dyDescent="0.25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3" customHeight="1" x14ac:dyDescent="0.25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3" customHeight="1" x14ac:dyDescent="0.25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3" customHeight="1" x14ac:dyDescent="0.25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3" customHeight="1" x14ac:dyDescent="0.25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3" customHeight="1" x14ac:dyDescent="0.25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3" customHeight="1" x14ac:dyDescent="0.25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3" customHeight="1" x14ac:dyDescent="0.25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3" customHeight="1" x14ac:dyDescent="0.25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3" customHeight="1" x14ac:dyDescent="0.25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3" customHeight="1" x14ac:dyDescent="0.25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3" customHeight="1" x14ac:dyDescent="0.25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3" customHeight="1" x14ac:dyDescent="0.25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3" customHeight="1" x14ac:dyDescent="0.25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3" customHeight="1" x14ac:dyDescent="0.25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3" customHeight="1" x14ac:dyDescent="0.25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3" customHeight="1" x14ac:dyDescent="0.25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3" customHeight="1" x14ac:dyDescent="0.25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3" customHeight="1" x14ac:dyDescent="0.25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3" customHeight="1" x14ac:dyDescent="0.25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3" customHeight="1" x14ac:dyDescent="0.25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3" customHeight="1" x14ac:dyDescent="0.25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3" customHeight="1" x14ac:dyDescent="0.25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3" customHeight="1" x14ac:dyDescent="0.25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3" customHeight="1" x14ac:dyDescent="0.25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3" customHeight="1" x14ac:dyDescent="0.25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3" customHeight="1" x14ac:dyDescent="0.25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3" customHeight="1" x14ac:dyDescent="0.25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3" customHeight="1" x14ac:dyDescent="0.25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3" customHeight="1" x14ac:dyDescent="0.25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3" customHeight="1" x14ac:dyDescent="0.25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3" customHeight="1" x14ac:dyDescent="0.25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3" customHeight="1" x14ac:dyDescent="0.25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3" customHeight="1" x14ac:dyDescent="0.25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3" customHeight="1" x14ac:dyDescent="0.25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3" customHeight="1" x14ac:dyDescent="0.25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3" customHeight="1" x14ac:dyDescent="0.25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3" customHeight="1" x14ac:dyDescent="0.25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3" customHeight="1" x14ac:dyDescent="0.25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3" customHeight="1" x14ac:dyDescent="0.25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3" customHeight="1" x14ac:dyDescent="0.25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3" customHeight="1" x14ac:dyDescent="0.25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3" customHeight="1" x14ac:dyDescent="0.25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3" customHeight="1" x14ac:dyDescent="0.25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3" customHeight="1" x14ac:dyDescent="0.25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3" customHeight="1" x14ac:dyDescent="0.25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3" customHeight="1" x14ac:dyDescent="0.25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3" customHeight="1" x14ac:dyDescent="0.25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3" customHeight="1" x14ac:dyDescent="0.25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3" customHeight="1" x14ac:dyDescent="0.25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3" customHeight="1" x14ac:dyDescent="0.25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3" customHeight="1" x14ac:dyDescent="0.25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3" customHeight="1" x14ac:dyDescent="0.25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3" customHeight="1" x14ac:dyDescent="0.25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3" customHeight="1" x14ac:dyDescent="0.25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3" customHeight="1" x14ac:dyDescent="0.25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3" customHeight="1" x14ac:dyDescent="0.25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3" customHeight="1" x14ac:dyDescent="0.25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3" customHeight="1" x14ac:dyDescent="0.25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3" customHeight="1" x14ac:dyDescent="0.25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3" customHeight="1" x14ac:dyDescent="0.25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3" customHeight="1" x14ac:dyDescent="0.25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3" customHeight="1" x14ac:dyDescent="0.25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3" customHeight="1" x14ac:dyDescent="0.25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3" customHeight="1" x14ac:dyDescent="0.25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3" customHeight="1" x14ac:dyDescent="0.25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3" customHeight="1" x14ac:dyDescent="0.25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3" customHeight="1" x14ac:dyDescent="0.25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3" customHeight="1" x14ac:dyDescent="0.25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3" customHeight="1" x14ac:dyDescent="0.25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3" customHeight="1" x14ac:dyDescent="0.25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3" customHeight="1" x14ac:dyDescent="0.25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3" customHeight="1" x14ac:dyDescent="0.25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3" customHeight="1" x14ac:dyDescent="0.25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3" customHeight="1" x14ac:dyDescent="0.25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3" customHeight="1" x14ac:dyDescent="0.25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3" customHeight="1" x14ac:dyDescent="0.25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3" customHeight="1" x14ac:dyDescent="0.25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3" customHeight="1" x14ac:dyDescent="0.25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3" customHeight="1" x14ac:dyDescent="0.25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3" customHeight="1" x14ac:dyDescent="0.25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3" customHeight="1" x14ac:dyDescent="0.25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3" customHeight="1" x14ac:dyDescent="0.25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3" customHeight="1" x14ac:dyDescent="0.25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3" customHeight="1" x14ac:dyDescent="0.25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3" customHeight="1" x14ac:dyDescent="0.25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3" customHeight="1" x14ac:dyDescent="0.25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3" customHeight="1" x14ac:dyDescent="0.25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3" customHeight="1" x14ac:dyDescent="0.25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3" customHeight="1" x14ac:dyDescent="0.25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3" customHeight="1" x14ac:dyDescent="0.25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3" customHeight="1" x14ac:dyDescent="0.25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3" customHeight="1" x14ac:dyDescent="0.25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3" customHeight="1" x14ac:dyDescent="0.25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3" customHeight="1" x14ac:dyDescent="0.25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3" customHeight="1" x14ac:dyDescent="0.25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3" customHeight="1" x14ac:dyDescent="0.25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3" customHeight="1" x14ac:dyDescent="0.25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3" customHeight="1" x14ac:dyDescent="0.25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3" customHeight="1" x14ac:dyDescent="0.25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3" customHeight="1" x14ac:dyDescent="0.25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3" customHeight="1" x14ac:dyDescent="0.25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3" customHeight="1" x14ac:dyDescent="0.25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3" customHeight="1" x14ac:dyDescent="0.25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3" customHeight="1" x14ac:dyDescent="0.25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3" customHeight="1" x14ac:dyDescent="0.25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3" customHeight="1" x14ac:dyDescent="0.25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3" customHeight="1" x14ac:dyDescent="0.25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3" customHeight="1" x14ac:dyDescent="0.25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3" customHeight="1" x14ac:dyDescent="0.25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3" customHeight="1" x14ac:dyDescent="0.25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3" customHeight="1" x14ac:dyDescent="0.25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3" customHeight="1" x14ac:dyDescent="0.25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3" customHeight="1" x14ac:dyDescent="0.25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3" customHeight="1" x14ac:dyDescent="0.25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3" customHeight="1" x14ac:dyDescent="0.25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3" customHeight="1" x14ac:dyDescent="0.25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3" customHeight="1" x14ac:dyDescent="0.25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3" customHeight="1" x14ac:dyDescent="0.25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3" customHeight="1" x14ac:dyDescent="0.25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3" customHeight="1" x14ac:dyDescent="0.25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3" customHeight="1" x14ac:dyDescent="0.25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3" customHeight="1" x14ac:dyDescent="0.25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3" customHeight="1" x14ac:dyDescent="0.25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3" customHeight="1" x14ac:dyDescent="0.25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3" customHeight="1" x14ac:dyDescent="0.25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3" customHeight="1" x14ac:dyDescent="0.25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3" customHeight="1" x14ac:dyDescent="0.25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3" customHeight="1" x14ac:dyDescent="0.25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3" customHeight="1" x14ac:dyDescent="0.25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3" customHeight="1" x14ac:dyDescent="0.25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3" customHeight="1" x14ac:dyDescent="0.25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3" customHeight="1" x14ac:dyDescent="0.25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3" customHeight="1" x14ac:dyDescent="0.25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3" customHeight="1" x14ac:dyDescent="0.25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3" customHeight="1" x14ac:dyDescent="0.25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3" customHeight="1" x14ac:dyDescent="0.25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3" customHeight="1" x14ac:dyDescent="0.25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3" customHeight="1" x14ac:dyDescent="0.25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3" customHeight="1" x14ac:dyDescent="0.25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3" customHeight="1" x14ac:dyDescent="0.25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3" customHeight="1" x14ac:dyDescent="0.25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3" customHeight="1" x14ac:dyDescent="0.25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3" customHeight="1" x14ac:dyDescent="0.25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3" customHeight="1" x14ac:dyDescent="0.25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3" customHeight="1" x14ac:dyDescent="0.25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3" customHeight="1" x14ac:dyDescent="0.25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3" customHeight="1" x14ac:dyDescent="0.25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3" customHeight="1" x14ac:dyDescent="0.25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3" customHeight="1" x14ac:dyDescent="0.25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3" customHeight="1" x14ac:dyDescent="0.25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3" customHeight="1" x14ac:dyDescent="0.25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3" customHeight="1" x14ac:dyDescent="0.25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3" customHeight="1" x14ac:dyDescent="0.25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3" customHeight="1" x14ac:dyDescent="0.25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3" customHeight="1" x14ac:dyDescent="0.25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3" customHeight="1" x14ac:dyDescent="0.25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3" customHeight="1" x14ac:dyDescent="0.25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3" customHeight="1" x14ac:dyDescent="0.25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3" customHeight="1" x14ac:dyDescent="0.25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3" customHeight="1" x14ac:dyDescent="0.25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3" customHeight="1" x14ac:dyDescent="0.25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3" customHeight="1" x14ac:dyDescent="0.25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3" customHeight="1" x14ac:dyDescent="0.25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3" customHeight="1" x14ac:dyDescent="0.25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3" customHeight="1" x14ac:dyDescent="0.25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3" customHeight="1" x14ac:dyDescent="0.25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3" customHeight="1" x14ac:dyDescent="0.25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3" customHeight="1" x14ac:dyDescent="0.25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3" customHeight="1" x14ac:dyDescent="0.25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3" customHeight="1" x14ac:dyDescent="0.25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3" customHeight="1" x14ac:dyDescent="0.25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3" customHeight="1" x14ac:dyDescent="0.25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3" customHeight="1" x14ac:dyDescent="0.25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3" customHeight="1" x14ac:dyDescent="0.25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3" customHeight="1" x14ac:dyDescent="0.25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3" customHeight="1" x14ac:dyDescent="0.25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3" customHeight="1" x14ac:dyDescent="0.25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3" customHeight="1" x14ac:dyDescent="0.25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3" customHeight="1" x14ac:dyDescent="0.25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3" customHeight="1" x14ac:dyDescent="0.25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3" customHeight="1" x14ac:dyDescent="0.25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3" customHeight="1" x14ac:dyDescent="0.25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3" customHeight="1" x14ac:dyDescent="0.25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3" customHeight="1" x14ac:dyDescent="0.25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3" customHeight="1" x14ac:dyDescent="0.25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3" customHeight="1" x14ac:dyDescent="0.25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3" customHeight="1" x14ac:dyDescent="0.25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3" customHeight="1" x14ac:dyDescent="0.25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3" customHeight="1" x14ac:dyDescent="0.25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3" customHeight="1" x14ac:dyDescent="0.25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3" customHeight="1" x14ac:dyDescent="0.25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3" customHeight="1" x14ac:dyDescent="0.25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3" customHeight="1" x14ac:dyDescent="0.25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3" customHeight="1" x14ac:dyDescent="0.25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3" customHeight="1" x14ac:dyDescent="0.25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3" customHeight="1" x14ac:dyDescent="0.25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3" customHeight="1" x14ac:dyDescent="0.25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3" customHeight="1" x14ac:dyDescent="0.25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3" customHeight="1" x14ac:dyDescent="0.25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3" customHeight="1" x14ac:dyDescent="0.25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3" customHeight="1" x14ac:dyDescent="0.25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3" customHeight="1" x14ac:dyDescent="0.25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3" customHeight="1" x14ac:dyDescent="0.25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3" customHeight="1" x14ac:dyDescent="0.25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3" customHeight="1" x14ac:dyDescent="0.25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3" customHeight="1" x14ac:dyDescent="0.25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3" customHeight="1" x14ac:dyDescent="0.25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3" customHeight="1" x14ac:dyDescent="0.25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3" customHeight="1" x14ac:dyDescent="0.25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3" customHeight="1" x14ac:dyDescent="0.25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3" customHeight="1" x14ac:dyDescent="0.25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3" customHeight="1" x14ac:dyDescent="0.25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3" customHeight="1" x14ac:dyDescent="0.25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3" customHeight="1" x14ac:dyDescent="0.25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3" customHeight="1" x14ac:dyDescent="0.25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3" customHeight="1" x14ac:dyDescent="0.25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3" customHeight="1" x14ac:dyDescent="0.25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3" customHeight="1" x14ac:dyDescent="0.25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3" customHeight="1" x14ac:dyDescent="0.25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3" customHeight="1" x14ac:dyDescent="0.25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3" customHeight="1" x14ac:dyDescent="0.25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3" customHeight="1" x14ac:dyDescent="0.25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3" customHeight="1" x14ac:dyDescent="0.25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3" customHeight="1" x14ac:dyDescent="0.25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3" customHeight="1" x14ac:dyDescent="0.25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3" customHeight="1" x14ac:dyDescent="0.25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3" customHeight="1" x14ac:dyDescent="0.25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3" customHeight="1" x14ac:dyDescent="0.25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3" customHeight="1" x14ac:dyDescent="0.25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3" customHeight="1" x14ac:dyDescent="0.25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3" customHeight="1" x14ac:dyDescent="0.25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3" customHeight="1" x14ac:dyDescent="0.25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3" customHeight="1" x14ac:dyDescent="0.25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3" customHeight="1" x14ac:dyDescent="0.25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3" customHeight="1" x14ac:dyDescent="0.25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3" customHeight="1" x14ac:dyDescent="0.25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3" customHeight="1" x14ac:dyDescent="0.25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3" customHeight="1" x14ac:dyDescent="0.25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3" customHeight="1" x14ac:dyDescent="0.25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3" customHeight="1" x14ac:dyDescent="0.25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3" customHeight="1" x14ac:dyDescent="0.25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3" customHeight="1" x14ac:dyDescent="0.25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3" customHeight="1" x14ac:dyDescent="0.25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3" customHeight="1" x14ac:dyDescent="0.25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3" customHeight="1" x14ac:dyDescent="0.25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3" customHeight="1" x14ac:dyDescent="0.25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3" customHeight="1" x14ac:dyDescent="0.25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3" customHeight="1" x14ac:dyDescent="0.25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3" customHeight="1" x14ac:dyDescent="0.25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3" customHeight="1" x14ac:dyDescent="0.25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3" customHeight="1" x14ac:dyDescent="0.25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3" customHeight="1" x14ac:dyDescent="0.25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3" customHeight="1" x14ac:dyDescent="0.25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3" customHeight="1" x14ac:dyDescent="0.25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3" customHeight="1" x14ac:dyDescent="0.25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3" customHeight="1" x14ac:dyDescent="0.25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3" customHeight="1" x14ac:dyDescent="0.25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3" customHeight="1" x14ac:dyDescent="0.25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3" customHeight="1" x14ac:dyDescent="0.25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3" customHeight="1" x14ac:dyDescent="0.25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3" customHeight="1" x14ac:dyDescent="0.25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3" customHeight="1" x14ac:dyDescent="0.25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3" customHeight="1" x14ac:dyDescent="0.25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3" customHeight="1" x14ac:dyDescent="0.25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3" customHeight="1" x14ac:dyDescent="0.25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3" customHeight="1" x14ac:dyDescent="0.25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3" customHeight="1" x14ac:dyDescent="0.25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3" customHeight="1" x14ac:dyDescent="0.25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3" customHeight="1" x14ac:dyDescent="0.25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3" customHeight="1" x14ac:dyDescent="0.25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3" customHeight="1" x14ac:dyDescent="0.25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3" customHeight="1" x14ac:dyDescent="0.25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3" customHeight="1" x14ac:dyDescent="0.25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3" customHeight="1" x14ac:dyDescent="0.25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3" customHeight="1" x14ac:dyDescent="0.25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3" customHeight="1" x14ac:dyDescent="0.25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3" customHeight="1" x14ac:dyDescent="0.25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3" customHeight="1" x14ac:dyDescent="0.25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3" customHeight="1" x14ac:dyDescent="0.25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3" customHeight="1" x14ac:dyDescent="0.25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3" customHeight="1" x14ac:dyDescent="0.25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3" customHeight="1" x14ac:dyDescent="0.25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3" customHeight="1" x14ac:dyDescent="0.25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3" customHeight="1" x14ac:dyDescent="0.25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3" customHeight="1" x14ac:dyDescent="0.25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3" customHeight="1" x14ac:dyDescent="0.25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3" customHeight="1" x14ac:dyDescent="0.25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3" customHeight="1" x14ac:dyDescent="0.25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3" customHeight="1" x14ac:dyDescent="0.25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3" customHeight="1" x14ac:dyDescent="0.25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3" customHeight="1" x14ac:dyDescent="0.25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3" customHeight="1" x14ac:dyDescent="0.25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3" customHeight="1" x14ac:dyDescent="0.25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3" customHeight="1" x14ac:dyDescent="0.25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3" customHeight="1" x14ac:dyDescent="0.25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3" customHeight="1" x14ac:dyDescent="0.25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3" customHeight="1" x14ac:dyDescent="0.25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3" customHeight="1" x14ac:dyDescent="0.25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3" customHeight="1" x14ac:dyDescent="0.25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3" customHeight="1" x14ac:dyDescent="0.25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3" customHeight="1" x14ac:dyDescent="0.25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3" customHeight="1" x14ac:dyDescent="0.25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3" customHeight="1" x14ac:dyDescent="0.25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3" customHeight="1" x14ac:dyDescent="0.25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3" customHeight="1" x14ac:dyDescent="0.25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3" customHeight="1" x14ac:dyDescent="0.25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3" customHeight="1" x14ac:dyDescent="0.25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3" customHeight="1" x14ac:dyDescent="0.25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3" customHeight="1" x14ac:dyDescent="0.25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3" customHeight="1" x14ac:dyDescent="0.25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3" customHeight="1" x14ac:dyDescent="0.25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3" customHeight="1" x14ac:dyDescent="0.25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3" customHeight="1" x14ac:dyDescent="0.25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3" customHeight="1" x14ac:dyDescent="0.25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3" customHeight="1" x14ac:dyDescent="0.25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3" customHeight="1" x14ac:dyDescent="0.25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3" customHeight="1" x14ac:dyDescent="0.25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3" customHeight="1" x14ac:dyDescent="0.25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3" customHeight="1" x14ac:dyDescent="0.25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3" customHeight="1" x14ac:dyDescent="0.25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3" customHeight="1" x14ac:dyDescent="0.25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3" customHeight="1" x14ac:dyDescent="0.25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3" customHeight="1" x14ac:dyDescent="0.25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3" customHeight="1" x14ac:dyDescent="0.25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3" customHeight="1" x14ac:dyDescent="0.25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3" customHeight="1" x14ac:dyDescent="0.25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3" customHeight="1" x14ac:dyDescent="0.25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3" customHeight="1" x14ac:dyDescent="0.25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3" customHeight="1" x14ac:dyDescent="0.25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3" customHeight="1" x14ac:dyDescent="0.25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3" customHeight="1" x14ac:dyDescent="0.25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3" customHeight="1" x14ac:dyDescent="0.25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3" customHeight="1" x14ac:dyDescent="0.25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3" customHeight="1" x14ac:dyDescent="0.25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3" customHeight="1" x14ac:dyDescent="0.25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3" customHeight="1" x14ac:dyDescent="0.25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3" customHeight="1" x14ac:dyDescent="0.25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3" customHeight="1" x14ac:dyDescent="0.25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3" customHeight="1" x14ac:dyDescent="0.25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3" customHeight="1" x14ac:dyDescent="0.25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3" customHeight="1" x14ac:dyDescent="0.25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3" customHeight="1" x14ac:dyDescent="0.25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3" customHeight="1" x14ac:dyDescent="0.25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3" customHeight="1" x14ac:dyDescent="0.25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3" customHeight="1" x14ac:dyDescent="0.25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3" customHeight="1" x14ac:dyDescent="0.25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3" customHeight="1" x14ac:dyDescent="0.25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3" customHeight="1" x14ac:dyDescent="0.25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3" customHeight="1" x14ac:dyDescent="0.25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3" customHeight="1" x14ac:dyDescent="0.25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3" customHeight="1" x14ac:dyDescent="0.25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3" customHeight="1" x14ac:dyDescent="0.25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3" customHeight="1" x14ac:dyDescent="0.25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3" customHeight="1" x14ac:dyDescent="0.25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3" customHeight="1" x14ac:dyDescent="0.25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3" customHeight="1" x14ac:dyDescent="0.25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3" customHeight="1" x14ac:dyDescent="0.25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3" customHeight="1" x14ac:dyDescent="0.25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3" customHeight="1" x14ac:dyDescent="0.25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3" customHeight="1" x14ac:dyDescent="0.25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3" customHeight="1" x14ac:dyDescent="0.25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3" customHeight="1" x14ac:dyDescent="0.25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3" customHeight="1" x14ac:dyDescent="0.25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3" customHeight="1" x14ac:dyDescent="0.25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3" customHeight="1" x14ac:dyDescent="0.25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3" customHeight="1" x14ac:dyDescent="0.25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3" customHeight="1" x14ac:dyDescent="0.25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3" customHeight="1" x14ac:dyDescent="0.25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3" customHeight="1" x14ac:dyDescent="0.25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3" customHeight="1" x14ac:dyDescent="0.25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3" customHeight="1" x14ac:dyDescent="0.25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3" customHeight="1" x14ac:dyDescent="0.25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3" customHeight="1" x14ac:dyDescent="0.25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3" customHeight="1" x14ac:dyDescent="0.25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3" customHeight="1" x14ac:dyDescent="0.25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3" customHeight="1" x14ac:dyDescent="0.25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3" customHeight="1" x14ac:dyDescent="0.25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3" customHeight="1" x14ac:dyDescent="0.25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3" customHeight="1" x14ac:dyDescent="0.25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3" customHeight="1" x14ac:dyDescent="0.25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3" customHeight="1" x14ac:dyDescent="0.25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3" customHeight="1" x14ac:dyDescent="0.25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3" customHeight="1" x14ac:dyDescent="0.25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3" customHeight="1" x14ac:dyDescent="0.25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3" customHeight="1" x14ac:dyDescent="0.25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3" customHeight="1" x14ac:dyDescent="0.25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3" customHeight="1" x14ac:dyDescent="0.25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3" customHeight="1" x14ac:dyDescent="0.25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3" customHeight="1" x14ac:dyDescent="0.25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3" customHeight="1" x14ac:dyDescent="0.25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3" customHeight="1" x14ac:dyDescent="0.25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3" customHeight="1" x14ac:dyDescent="0.25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3" customHeight="1" x14ac:dyDescent="0.25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3" customHeight="1" x14ac:dyDescent="0.25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3" customHeight="1" x14ac:dyDescent="0.25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3" customHeight="1" x14ac:dyDescent="0.25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3" customHeight="1" x14ac:dyDescent="0.25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3" customHeight="1" x14ac:dyDescent="0.25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3" customHeight="1" x14ac:dyDescent="0.25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3" customHeight="1" x14ac:dyDescent="0.25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3" customHeight="1" x14ac:dyDescent="0.25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3" customHeight="1" x14ac:dyDescent="0.25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3" customHeight="1" x14ac:dyDescent="0.25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3" customHeight="1" x14ac:dyDescent="0.25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3" customHeight="1" x14ac:dyDescent="0.25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3" customHeight="1" x14ac:dyDescent="0.25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3" customHeight="1" x14ac:dyDescent="0.25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3" customHeight="1" x14ac:dyDescent="0.25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3" customHeight="1" x14ac:dyDescent="0.25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3" customHeight="1" x14ac:dyDescent="0.25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3" customHeight="1" x14ac:dyDescent="0.25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3" customHeight="1" x14ac:dyDescent="0.25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3" customHeight="1" x14ac:dyDescent="0.25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3" customHeight="1" x14ac:dyDescent="0.25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3" customHeight="1" x14ac:dyDescent="0.25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3" customHeight="1" x14ac:dyDescent="0.25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3" customHeight="1" x14ac:dyDescent="0.25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3" customHeight="1" x14ac:dyDescent="0.25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3" customHeight="1" x14ac:dyDescent="0.25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3" customHeight="1" x14ac:dyDescent="0.25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3" customHeight="1" x14ac:dyDescent="0.25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3" customHeight="1" x14ac:dyDescent="0.25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3" customHeight="1" x14ac:dyDescent="0.25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3" customHeight="1" x14ac:dyDescent="0.25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3" customHeight="1" x14ac:dyDescent="0.25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3" customHeight="1" x14ac:dyDescent="0.25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3" customHeight="1" x14ac:dyDescent="0.25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3" customHeight="1" x14ac:dyDescent="0.25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3" customHeight="1" x14ac:dyDescent="0.25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3" customHeight="1" x14ac:dyDescent="0.25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3" customHeight="1" x14ac:dyDescent="0.25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3" customHeight="1" x14ac:dyDescent="0.25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3" customHeight="1" x14ac:dyDescent="0.25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3" customHeight="1" x14ac:dyDescent="0.25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3" customHeight="1" x14ac:dyDescent="0.25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3" customHeight="1" x14ac:dyDescent="0.25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3" customHeight="1" x14ac:dyDescent="0.25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3" customHeight="1" x14ac:dyDescent="0.25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3" customHeight="1" x14ac:dyDescent="0.25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3" customHeight="1" x14ac:dyDescent="0.25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3" customHeight="1" x14ac:dyDescent="0.25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3" customHeight="1" x14ac:dyDescent="0.25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3" customHeight="1" x14ac:dyDescent="0.25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3" customHeight="1" x14ac:dyDescent="0.25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3" customHeight="1" x14ac:dyDescent="0.25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3" customHeight="1" x14ac:dyDescent="0.25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3" customHeight="1" x14ac:dyDescent="0.25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3" customHeight="1" x14ac:dyDescent="0.25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3" customHeight="1" x14ac:dyDescent="0.25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3" customHeight="1" x14ac:dyDescent="0.25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3" customHeight="1" x14ac:dyDescent="0.25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3" customHeight="1" x14ac:dyDescent="0.25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3" customHeight="1" x14ac:dyDescent="0.25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3" customHeight="1" x14ac:dyDescent="0.25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3" customHeight="1" x14ac:dyDescent="0.25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3" customHeight="1" x14ac:dyDescent="0.25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3" customHeight="1" x14ac:dyDescent="0.25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3" customHeight="1" x14ac:dyDescent="0.25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3" customHeight="1" x14ac:dyDescent="0.25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3" customHeight="1" x14ac:dyDescent="0.25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3" customHeight="1" x14ac:dyDescent="0.25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3" customHeight="1" x14ac:dyDescent="0.25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3" customHeight="1" x14ac:dyDescent="0.25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3" customHeight="1" x14ac:dyDescent="0.25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3" customHeight="1" x14ac:dyDescent="0.25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3" customHeight="1" x14ac:dyDescent="0.25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3" customHeight="1" x14ac:dyDescent="0.25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3" customHeight="1" x14ac:dyDescent="0.25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3" customHeight="1" x14ac:dyDescent="0.25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3" customHeight="1" x14ac:dyDescent="0.25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3" customHeight="1" x14ac:dyDescent="0.25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3" customHeight="1" x14ac:dyDescent="0.25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3" customHeight="1" x14ac:dyDescent="0.25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3" customHeight="1" x14ac:dyDescent="0.25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3" customHeight="1" x14ac:dyDescent="0.25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3" customHeight="1" x14ac:dyDescent="0.25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3" customHeight="1" x14ac:dyDescent="0.25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3" customHeight="1" x14ac:dyDescent="0.25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3" customHeight="1" x14ac:dyDescent="0.25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3" customHeight="1" x14ac:dyDescent="0.25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3" customHeight="1" x14ac:dyDescent="0.25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3" customHeight="1" x14ac:dyDescent="0.25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3" customHeight="1" x14ac:dyDescent="0.25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3" customHeight="1" x14ac:dyDescent="0.25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3" customHeight="1" x14ac:dyDescent="0.25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3" customHeight="1" x14ac:dyDescent="0.25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3" customHeight="1" x14ac:dyDescent="0.25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3" customHeight="1" x14ac:dyDescent="0.25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3" customHeight="1" x14ac:dyDescent="0.25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3" customHeight="1" x14ac:dyDescent="0.25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3" customHeight="1" x14ac:dyDescent="0.25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3" customHeight="1" x14ac:dyDescent="0.25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3" customHeight="1" x14ac:dyDescent="0.25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3" customHeight="1" x14ac:dyDescent="0.25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3" customHeight="1" x14ac:dyDescent="0.25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3" customHeight="1" x14ac:dyDescent="0.25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3" customHeight="1" x14ac:dyDescent="0.25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3" customHeight="1" x14ac:dyDescent="0.25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3" customHeight="1" x14ac:dyDescent="0.25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3" customHeight="1" x14ac:dyDescent="0.25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3" customHeight="1" x14ac:dyDescent="0.25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3" customHeight="1" x14ac:dyDescent="0.25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3" customHeight="1" x14ac:dyDescent="0.25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3" customHeight="1" x14ac:dyDescent="0.25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3" customHeight="1" x14ac:dyDescent="0.25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3" customHeight="1" x14ac:dyDescent="0.25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3" customHeight="1" x14ac:dyDescent="0.25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3" customHeight="1" x14ac:dyDescent="0.25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3" customHeight="1" x14ac:dyDescent="0.25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3" customHeight="1" x14ac:dyDescent="0.25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3" customHeight="1" x14ac:dyDescent="0.25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3" customHeight="1" x14ac:dyDescent="0.25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3" customHeight="1" x14ac:dyDescent="0.25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3" customHeight="1" x14ac:dyDescent="0.25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3" customHeight="1" x14ac:dyDescent="0.25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3" customHeight="1" x14ac:dyDescent="0.25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3" customHeight="1" x14ac:dyDescent="0.25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3" customHeight="1" x14ac:dyDescent="0.25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3" customHeight="1" x14ac:dyDescent="0.25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3" customHeight="1" x14ac:dyDescent="0.25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3" customHeight="1" x14ac:dyDescent="0.25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3" customHeight="1" x14ac:dyDescent="0.25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3" customHeight="1" x14ac:dyDescent="0.25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3" customHeight="1" x14ac:dyDescent="0.25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3" customHeight="1" x14ac:dyDescent="0.25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3" customHeight="1" x14ac:dyDescent="0.25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3" customHeight="1" x14ac:dyDescent="0.25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3" customHeight="1" x14ac:dyDescent="0.25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3" customHeight="1" x14ac:dyDescent="0.25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3" customHeight="1" x14ac:dyDescent="0.25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3" customHeight="1" x14ac:dyDescent="0.25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3" customHeight="1" x14ac:dyDescent="0.25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3" customHeight="1" x14ac:dyDescent="0.25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3" customHeight="1" x14ac:dyDescent="0.25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3" customHeight="1" x14ac:dyDescent="0.25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3" customHeight="1" x14ac:dyDescent="0.25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3" customHeight="1" x14ac:dyDescent="0.25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3" customHeight="1" x14ac:dyDescent="0.25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3" customHeight="1" x14ac:dyDescent="0.25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3" customHeight="1" x14ac:dyDescent="0.25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3" customHeight="1" x14ac:dyDescent="0.25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3" customHeight="1" x14ac:dyDescent="0.25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3" customHeight="1" x14ac:dyDescent="0.25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3" customHeight="1" x14ac:dyDescent="0.25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3" customHeight="1" x14ac:dyDescent="0.25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3" customHeight="1" x14ac:dyDescent="0.25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3" customHeight="1" x14ac:dyDescent="0.25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3" customHeight="1" x14ac:dyDescent="0.25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3" customHeight="1" x14ac:dyDescent="0.25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3" customHeight="1" x14ac:dyDescent="0.25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3" customHeight="1" x14ac:dyDescent="0.25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3" customHeight="1" x14ac:dyDescent="0.25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3" customHeight="1" x14ac:dyDescent="0.25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3" customHeight="1" x14ac:dyDescent="0.25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3" customHeight="1" x14ac:dyDescent="0.25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3" customHeight="1" x14ac:dyDescent="0.25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3" customHeight="1" x14ac:dyDescent="0.25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3" customHeight="1" x14ac:dyDescent="0.25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3" customHeight="1" x14ac:dyDescent="0.25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3" customHeight="1" x14ac:dyDescent="0.25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3" customHeight="1" x14ac:dyDescent="0.25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3" customHeight="1" x14ac:dyDescent="0.25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3" customHeight="1" x14ac:dyDescent="0.25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3" customHeight="1" x14ac:dyDescent="0.25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3" customHeight="1" x14ac:dyDescent="0.25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3" customHeight="1" x14ac:dyDescent="0.25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3" customHeight="1" x14ac:dyDescent="0.25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3" customHeight="1" x14ac:dyDescent="0.25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3" customHeight="1" x14ac:dyDescent="0.25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3" customHeight="1" x14ac:dyDescent="0.25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3" customHeight="1" x14ac:dyDescent="0.25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3" customHeight="1" x14ac:dyDescent="0.25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3" customHeight="1" x14ac:dyDescent="0.25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3" customHeight="1" x14ac:dyDescent="0.25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3" customHeight="1" x14ac:dyDescent="0.25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3" customHeight="1" x14ac:dyDescent="0.25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3" customHeight="1" x14ac:dyDescent="0.25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3" customHeight="1" x14ac:dyDescent="0.25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3" customHeight="1" x14ac:dyDescent="0.25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3" customHeight="1" x14ac:dyDescent="0.25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3" customHeight="1" x14ac:dyDescent="0.25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3" customHeight="1" x14ac:dyDescent="0.25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3" customHeight="1" x14ac:dyDescent="0.25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3" customHeight="1" x14ac:dyDescent="0.25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3" customHeight="1" x14ac:dyDescent="0.25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3" customHeight="1" x14ac:dyDescent="0.25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3" customHeight="1" x14ac:dyDescent="0.25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3" customHeight="1" x14ac:dyDescent="0.25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3" customHeight="1" x14ac:dyDescent="0.25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3" customHeight="1" x14ac:dyDescent="0.25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3" customHeight="1" x14ac:dyDescent="0.25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3" customHeight="1" x14ac:dyDescent="0.25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3" customHeight="1" x14ac:dyDescent="0.25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3" customHeight="1" x14ac:dyDescent="0.25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3" customHeight="1" x14ac:dyDescent="0.25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3" customHeight="1" x14ac:dyDescent="0.25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3" customHeight="1" x14ac:dyDescent="0.25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3" customHeight="1" x14ac:dyDescent="0.25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3" customHeight="1" x14ac:dyDescent="0.25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3" customHeight="1" x14ac:dyDescent="0.25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3" customHeight="1" x14ac:dyDescent="0.25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3" customHeight="1" x14ac:dyDescent="0.25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3" customHeight="1" x14ac:dyDescent="0.25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3" customHeight="1" x14ac:dyDescent="0.25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3" customHeight="1" x14ac:dyDescent="0.25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3" customHeight="1" x14ac:dyDescent="0.25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3" customHeight="1" x14ac:dyDescent="0.25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3" customHeight="1" x14ac:dyDescent="0.25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3" customHeight="1" x14ac:dyDescent="0.25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3" customHeight="1" x14ac:dyDescent="0.25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3" customHeight="1" x14ac:dyDescent="0.25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3" customHeight="1" x14ac:dyDescent="0.25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3" customHeight="1" x14ac:dyDescent="0.25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3" customHeight="1" x14ac:dyDescent="0.25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3" customHeight="1" x14ac:dyDescent="0.25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3" customHeight="1" x14ac:dyDescent="0.25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3" customHeight="1" x14ac:dyDescent="0.25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3" customHeight="1" x14ac:dyDescent="0.25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3" customHeight="1" x14ac:dyDescent="0.25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3" customHeight="1" x14ac:dyDescent="0.25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3" customHeight="1" x14ac:dyDescent="0.25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3" customHeight="1" x14ac:dyDescent="0.25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3" customHeight="1" x14ac:dyDescent="0.25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3" customHeight="1" x14ac:dyDescent="0.25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3" customHeight="1" x14ac:dyDescent="0.25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3" customHeight="1" x14ac:dyDescent="0.25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3" customHeight="1" x14ac:dyDescent="0.25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3" customHeight="1" x14ac:dyDescent="0.25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3" customHeight="1" x14ac:dyDescent="0.25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3" customHeight="1" x14ac:dyDescent="0.25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3" customHeight="1" x14ac:dyDescent="0.25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3" customHeight="1" x14ac:dyDescent="0.25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3" customHeight="1" x14ac:dyDescent="0.25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3" customHeight="1" x14ac:dyDescent="0.25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3" customHeight="1" x14ac:dyDescent="0.25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3" customHeight="1" x14ac:dyDescent="0.25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3" customHeight="1" x14ac:dyDescent="0.25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3" customHeight="1" x14ac:dyDescent="0.25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3" customHeight="1" x14ac:dyDescent="0.25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3" customHeight="1" x14ac:dyDescent="0.25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3" customHeight="1" x14ac:dyDescent="0.25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3" customHeight="1" x14ac:dyDescent="0.25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3" customHeight="1" x14ac:dyDescent="0.25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3" customHeight="1" x14ac:dyDescent="0.25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3" customHeight="1" x14ac:dyDescent="0.25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3" customHeight="1" x14ac:dyDescent="0.25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3" customHeight="1" x14ac:dyDescent="0.25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3" customHeight="1" x14ac:dyDescent="0.25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3" customHeight="1" x14ac:dyDescent="0.25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3" customHeight="1" x14ac:dyDescent="0.25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3" customHeight="1" x14ac:dyDescent="0.25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3" customHeight="1" x14ac:dyDescent="0.25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3" customHeight="1" x14ac:dyDescent="0.25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3" customHeight="1" x14ac:dyDescent="0.25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3" customHeight="1" x14ac:dyDescent="0.25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3" customHeight="1" x14ac:dyDescent="0.25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3" customHeight="1" x14ac:dyDescent="0.25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3" customHeight="1" x14ac:dyDescent="0.25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3" customHeight="1" x14ac:dyDescent="0.25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3" customHeight="1" x14ac:dyDescent="0.25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3" customHeight="1" x14ac:dyDescent="0.25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3" customHeight="1" x14ac:dyDescent="0.25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3" customHeight="1" x14ac:dyDescent="0.25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3" customHeight="1" x14ac:dyDescent="0.25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3" customHeight="1" x14ac:dyDescent="0.25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3" customHeight="1" x14ac:dyDescent="0.25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3" customHeight="1" x14ac:dyDescent="0.25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3" customHeight="1" x14ac:dyDescent="0.25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3" customHeight="1" x14ac:dyDescent="0.25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3" customHeight="1" x14ac:dyDescent="0.25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3" customHeight="1" x14ac:dyDescent="0.25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3" customHeight="1" x14ac:dyDescent="0.25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3" customHeight="1" x14ac:dyDescent="0.25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3" customHeight="1" x14ac:dyDescent="0.25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3" customHeight="1" x14ac:dyDescent="0.25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3" customHeight="1" x14ac:dyDescent="0.25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3" customHeight="1" x14ac:dyDescent="0.25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3" customHeight="1" x14ac:dyDescent="0.25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3" customHeight="1" x14ac:dyDescent="0.25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3" customHeight="1" x14ac:dyDescent="0.25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3" customHeight="1" x14ac:dyDescent="0.25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3" customHeight="1" x14ac:dyDescent="0.25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3" customHeight="1" x14ac:dyDescent="0.25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3" customHeight="1" x14ac:dyDescent="0.25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3" customHeight="1" x14ac:dyDescent="0.25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3" customHeight="1" x14ac:dyDescent="0.25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3" customHeight="1" x14ac:dyDescent="0.25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3" customHeight="1" x14ac:dyDescent="0.25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3" customHeight="1" x14ac:dyDescent="0.25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3" customHeight="1" x14ac:dyDescent="0.25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3" customHeight="1" x14ac:dyDescent="0.25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3" customHeight="1" x14ac:dyDescent="0.25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3" customHeight="1" x14ac:dyDescent="0.25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3" customHeight="1" x14ac:dyDescent="0.25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3" customHeight="1" x14ac:dyDescent="0.25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3" customHeight="1" x14ac:dyDescent="0.25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3" customHeight="1" x14ac:dyDescent="0.25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3" customHeight="1" x14ac:dyDescent="0.25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3" customHeight="1" x14ac:dyDescent="0.25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3" customHeight="1" x14ac:dyDescent="0.25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3" customHeight="1" x14ac:dyDescent="0.25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3" customHeight="1" x14ac:dyDescent="0.25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3" customHeight="1" x14ac:dyDescent="0.25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3" customHeight="1" x14ac:dyDescent="0.25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3" customHeight="1" x14ac:dyDescent="0.25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3" customHeight="1" x14ac:dyDescent="0.25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3" customHeight="1" x14ac:dyDescent="0.25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3" customHeight="1" x14ac:dyDescent="0.25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3" customHeight="1" x14ac:dyDescent="0.25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3" customHeight="1" x14ac:dyDescent="0.25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3" customHeight="1" x14ac:dyDescent="0.25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3" customHeight="1" x14ac:dyDescent="0.25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3" customHeight="1" x14ac:dyDescent="0.25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3" customHeight="1" x14ac:dyDescent="0.25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3" customHeight="1" x14ac:dyDescent="0.25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3" customHeight="1" x14ac:dyDescent="0.25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3" customHeight="1" x14ac:dyDescent="0.25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3" customHeight="1" x14ac:dyDescent="0.25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3" customHeight="1" x14ac:dyDescent="0.25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3" customHeight="1" x14ac:dyDescent="0.25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3" customHeight="1" x14ac:dyDescent="0.25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3" customHeight="1" x14ac:dyDescent="0.25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3" customHeight="1" x14ac:dyDescent="0.25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3" customHeight="1" x14ac:dyDescent="0.25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3" customHeight="1" x14ac:dyDescent="0.25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3" customHeight="1" x14ac:dyDescent="0.25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3" customHeight="1" x14ac:dyDescent="0.25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3" customHeight="1" x14ac:dyDescent="0.25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3" customHeight="1" x14ac:dyDescent="0.25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3" customHeight="1" x14ac:dyDescent="0.25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3" customHeight="1" x14ac:dyDescent="0.25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3" customHeight="1" x14ac:dyDescent="0.25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3" customHeight="1" x14ac:dyDescent="0.25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3" customHeight="1" x14ac:dyDescent="0.25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3" customHeight="1" x14ac:dyDescent="0.25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3" customHeight="1" x14ac:dyDescent="0.25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3" customHeight="1" x14ac:dyDescent="0.25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3" customHeight="1" x14ac:dyDescent="0.25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3" customHeight="1" x14ac:dyDescent="0.25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3" customHeight="1" x14ac:dyDescent="0.25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3" customHeight="1" x14ac:dyDescent="0.25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3" customHeight="1" x14ac:dyDescent="0.25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3" customHeight="1" x14ac:dyDescent="0.25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3" customHeight="1" x14ac:dyDescent="0.25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3" customHeight="1" x14ac:dyDescent="0.25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3" customHeight="1" x14ac:dyDescent="0.25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3" customHeight="1" x14ac:dyDescent="0.25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3" customHeight="1" x14ac:dyDescent="0.25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3" customHeight="1" x14ac:dyDescent="0.25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3" customHeight="1" x14ac:dyDescent="0.25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3" customHeight="1" x14ac:dyDescent="0.25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3" customHeight="1" x14ac:dyDescent="0.25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3" customHeight="1" x14ac:dyDescent="0.25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3" customHeight="1" x14ac:dyDescent="0.25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3" customHeight="1" x14ac:dyDescent="0.25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3" customHeight="1" x14ac:dyDescent="0.25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3" customHeight="1" x14ac:dyDescent="0.25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3" customHeight="1" x14ac:dyDescent="0.25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3" customHeight="1" x14ac:dyDescent="0.25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3" customHeight="1" x14ac:dyDescent="0.25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3" customHeight="1" x14ac:dyDescent="0.25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3" customHeight="1" x14ac:dyDescent="0.25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3" customHeight="1" x14ac:dyDescent="0.25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3" customHeight="1" x14ac:dyDescent="0.25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3" customHeight="1" x14ac:dyDescent="0.25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3" customHeight="1" x14ac:dyDescent="0.25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3" customHeight="1" x14ac:dyDescent="0.25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3" customHeight="1" x14ac:dyDescent="0.25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3" customHeight="1" x14ac:dyDescent="0.25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3" customHeight="1" x14ac:dyDescent="0.25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3" customHeight="1" x14ac:dyDescent="0.25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3" customHeight="1" x14ac:dyDescent="0.25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3" customHeight="1" x14ac:dyDescent="0.25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3" customHeight="1" x14ac:dyDescent="0.25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3" customHeight="1" x14ac:dyDescent="0.25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3" customHeight="1" x14ac:dyDescent="0.25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3" customHeight="1" x14ac:dyDescent="0.25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3" customHeight="1" x14ac:dyDescent="0.25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3" customHeight="1" x14ac:dyDescent="0.25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3" customHeight="1" x14ac:dyDescent="0.25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3" customHeight="1" x14ac:dyDescent="0.25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3" customHeight="1" x14ac:dyDescent="0.25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3" customHeight="1" x14ac:dyDescent="0.25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3" customHeight="1" x14ac:dyDescent="0.25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3" customHeight="1" x14ac:dyDescent="0.25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3" customHeight="1" x14ac:dyDescent="0.25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3" customHeight="1" x14ac:dyDescent="0.25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3" customHeight="1" x14ac:dyDescent="0.25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3" customHeight="1" x14ac:dyDescent="0.25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3" customHeight="1" x14ac:dyDescent="0.25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3" customHeight="1" x14ac:dyDescent="0.25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3" customHeight="1" x14ac:dyDescent="0.25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3" customHeight="1" x14ac:dyDescent="0.25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3" customHeight="1" x14ac:dyDescent="0.25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3" customHeight="1" x14ac:dyDescent="0.25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3" customHeight="1" x14ac:dyDescent="0.25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3" customHeight="1" x14ac:dyDescent="0.25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3" customHeight="1" x14ac:dyDescent="0.25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3" customHeight="1" x14ac:dyDescent="0.25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3" customHeight="1" x14ac:dyDescent="0.25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3" customHeight="1" x14ac:dyDescent="0.25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3" customHeight="1" x14ac:dyDescent="0.25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3" customHeight="1" x14ac:dyDescent="0.25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3" customHeight="1" x14ac:dyDescent="0.25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3" customHeight="1" x14ac:dyDescent="0.25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3" customHeight="1" x14ac:dyDescent="0.25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3" customHeight="1" x14ac:dyDescent="0.25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3" customHeight="1" x14ac:dyDescent="0.25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3" customHeight="1" x14ac:dyDescent="0.25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3" customHeight="1" x14ac:dyDescent="0.25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3" customHeight="1" x14ac:dyDescent="0.25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3" customHeight="1" x14ac:dyDescent="0.25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3" customHeight="1" x14ac:dyDescent="0.25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3" customHeight="1" x14ac:dyDescent="0.25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3" customHeight="1" x14ac:dyDescent="0.25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3" customHeight="1" x14ac:dyDescent="0.25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3" customHeight="1" x14ac:dyDescent="0.25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3" customHeight="1" x14ac:dyDescent="0.25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3" customHeight="1" x14ac:dyDescent="0.25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3" customHeight="1" x14ac:dyDescent="0.25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3" customHeight="1" x14ac:dyDescent="0.25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3" customHeight="1" x14ac:dyDescent="0.25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3" customHeight="1" x14ac:dyDescent="0.25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3" customHeight="1" x14ac:dyDescent="0.25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3" customHeight="1" x14ac:dyDescent="0.25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3" customHeight="1" x14ac:dyDescent="0.25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3" customHeight="1" x14ac:dyDescent="0.25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3" customHeight="1" x14ac:dyDescent="0.25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3" customHeight="1" x14ac:dyDescent="0.25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3" customHeight="1" x14ac:dyDescent="0.25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3" customHeight="1" x14ac:dyDescent="0.25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3" customHeight="1" x14ac:dyDescent="0.25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3" customHeight="1" x14ac:dyDescent="0.25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3" customHeight="1" x14ac:dyDescent="0.25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3" customHeight="1" x14ac:dyDescent="0.25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3" customHeight="1" x14ac:dyDescent="0.25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3" customHeight="1" x14ac:dyDescent="0.25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3" customHeight="1" x14ac:dyDescent="0.25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3" customHeight="1" x14ac:dyDescent="0.25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3" customHeight="1" x14ac:dyDescent="0.25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3" customHeight="1" x14ac:dyDescent="0.25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3" customHeight="1" x14ac:dyDescent="0.25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3" customHeight="1" x14ac:dyDescent="0.25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3" customHeight="1" x14ac:dyDescent="0.25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3" customHeight="1" x14ac:dyDescent="0.25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3" customHeight="1" x14ac:dyDescent="0.25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3" customHeight="1" x14ac:dyDescent="0.25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3" customHeight="1" x14ac:dyDescent="0.25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3" customHeight="1" x14ac:dyDescent="0.25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3" customHeight="1" x14ac:dyDescent="0.25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3" customHeight="1" x14ac:dyDescent="0.25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3" customHeight="1" x14ac:dyDescent="0.25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3" customHeight="1" x14ac:dyDescent="0.25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3" customHeight="1" x14ac:dyDescent="0.25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3" customHeight="1" x14ac:dyDescent="0.25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3" customHeight="1" x14ac:dyDescent="0.25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3" customHeight="1" x14ac:dyDescent="0.25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3" customHeight="1" x14ac:dyDescent="0.25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3" customHeight="1" x14ac:dyDescent="0.25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3" customHeight="1" x14ac:dyDescent="0.25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3" customHeight="1" x14ac:dyDescent="0.25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3" customHeight="1" x14ac:dyDescent="0.25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3" customHeight="1" x14ac:dyDescent="0.25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3" customHeight="1" x14ac:dyDescent="0.25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3" customHeight="1" x14ac:dyDescent="0.25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3" customHeight="1" x14ac:dyDescent="0.25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3" customHeight="1" x14ac:dyDescent="0.25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3" customHeight="1" x14ac:dyDescent="0.25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3" customHeight="1" x14ac:dyDescent="0.25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3" customHeight="1" x14ac:dyDescent="0.25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3" customHeight="1" x14ac:dyDescent="0.25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3" customHeight="1" x14ac:dyDescent="0.25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3" customHeight="1" x14ac:dyDescent="0.25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3" customHeight="1" x14ac:dyDescent="0.25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3" customHeight="1" x14ac:dyDescent="0.25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3" customHeight="1" x14ac:dyDescent="0.25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3" customHeight="1" x14ac:dyDescent="0.25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3" customHeight="1" x14ac:dyDescent="0.25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3" customHeight="1" x14ac:dyDescent="0.25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3" customHeight="1" x14ac:dyDescent="0.25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3" customHeight="1" x14ac:dyDescent="0.25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3" customHeight="1" x14ac:dyDescent="0.25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3" customHeight="1" x14ac:dyDescent="0.25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3" customHeight="1" x14ac:dyDescent="0.25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3" customHeight="1" x14ac:dyDescent="0.25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3" customHeight="1" x14ac:dyDescent="0.25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3" customHeight="1" x14ac:dyDescent="0.25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3" customHeight="1" x14ac:dyDescent="0.25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3" customHeight="1" x14ac:dyDescent="0.25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3" customHeight="1" x14ac:dyDescent="0.25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3" customHeight="1" x14ac:dyDescent="0.25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3" customHeight="1" x14ac:dyDescent="0.25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3" customHeight="1" x14ac:dyDescent="0.25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3" customHeight="1" x14ac:dyDescent="0.25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3" customHeight="1" x14ac:dyDescent="0.25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3" customHeight="1" x14ac:dyDescent="0.25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3" customHeight="1" x14ac:dyDescent="0.25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3" customHeight="1" x14ac:dyDescent="0.25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3" customHeight="1" x14ac:dyDescent="0.25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3" customHeight="1" x14ac:dyDescent="0.25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3" customHeight="1" x14ac:dyDescent="0.25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3" customHeight="1" x14ac:dyDescent="0.25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3" customHeight="1" x14ac:dyDescent="0.25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3" customHeight="1" x14ac:dyDescent="0.25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3" customHeight="1" x14ac:dyDescent="0.25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3" customHeight="1" x14ac:dyDescent="0.25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3" customHeight="1" x14ac:dyDescent="0.25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3" customHeight="1" x14ac:dyDescent="0.25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3" customHeight="1" x14ac:dyDescent="0.25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3" customHeight="1" x14ac:dyDescent="0.25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3" customHeight="1" x14ac:dyDescent="0.25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3" customHeight="1" x14ac:dyDescent="0.25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3" customHeight="1" x14ac:dyDescent="0.25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3" customHeight="1" x14ac:dyDescent="0.25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3" customHeight="1" x14ac:dyDescent="0.25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3" customHeight="1" x14ac:dyDescent="0.25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3" customHeight="1" x14ac:dyDescent="0.25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3" customHeight="1" x14ac:dyDescent="0.25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3" customHeight="1" x14ac:dyDescent="0.25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3" customHeight="1" x14ac:dyDescent="0.25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3" customHeight="1" x14ac:dyDescent="0.25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3" customHeight="1" x14ac:dyDescent="0.25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3" customHeight="1" x14ac:dyDescent="0.25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3" customHeight="1" x14ac:dyDescent="0.25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3" customHeight="1" x14ac:dyDescent="0.25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3" customHeight="1" x14ac:dyDescent="0.25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3" customHeight="1" x14ac:dyDescent="0.25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3" customHeight="1" x14ac:dyDescent="0.25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3" customHeight="1" x14ac:dyDescent="0.25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3" customHeight="1" x14ac:dyDescent="0.25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M38:N38"/>
    <mergeCell ref="AC6:AC11"/>
    <mergeCell ref="AC13:AC17"/>
    <mergeCell ref="M2:AC2"/>
    <mergeCell ref="AI17:AI20"/>
    <mergeCell ref="M18:N18"/>
    <mergeCell ref="P3:Y3"/>
    <mergeCell ref="Z3:AB3"/>
    <mergeCell ref="M3:N3"/>
    <mergeCell ref="AE18:AH19"/>
    <mergeCell ref="B1:K1"/>
    <mergeCell ref="M1:AC1"/>
    <mergeCell ref="M12:N12"/>
    <mergeCell ref="B3:C3"/>
    <mergeCell ref="B2:K2"/>
    <mergeCell ref="E3:J3"/>
  </mergeCells>
  <conditionalFormatting sqref="X6:X42">
    <cfRule type="containsText" dxfId="3" priority="1" operator="containsText" text="Bloqué">
      <formula>NOT(ISERROR(SEARCH("Bloqué",X6)))</formula>
    </cfRule>
    <cfRule type="containsText" dxfId="2" priority="2" operator="containsText" text="Terminé">
      <formula>NOT(ISERROR(SEARCH("Terminé",X6)))</formula>
    </cfRule>
    <cfRule type="containsText" dxfId="1" priority="3" operator="containsText" text="En cours">
      <formula>NOT(ISERROR(SEARCH("En cours",X6)))</formula>
    </cfRule>
    <cfRule type="containsText" dxfId="0" priority="4" operator="containsText" text="Pas commencé">
      <formula>NOT(ISERROR(SEARCH("Pas commencé",X6)))</formula>
    </cfRule>
  </conditionalFormatting>
  <dataValidations disablePrompts="1" count="1">
    <dataValidation type="list" allowBlank="1" showInputMessage="1" showErrorMessage="1" sqref="X6:X10 X13:X16 X19:X36 X39:X42" xr:uid="{00000000-0002-0000-0000-000000000000}">
      <formula1>$A$50:$A$53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B5" sqref="B5"/>
    </sheetView>
  </sheetViews>
  <sheetFormatPr defaultColWidth="10.81640625" defaultRowHeight="12.5" x14ac:dyDescent="0.25"/>
  <cols>
    <col min="1" max="1" width="6.1796875" style="2" customWidth="1"/>
    <col min="2" max="2" width="21.453125" style="2" customWidth="1"/>
    <col min="3" max="3" width="53.1796875" style="2" customWidth="1"/>
    <col min="4" max="4" width="16.81640625" style="3" customWidth="1"/>
    <col min="5" max="5" width="18.6328125" style="2" customWidth="1"/>
    <col min="6" max="6" width="10.81640625" style="2" customWidth="1"/>
    <col min="7" max="7" width="42.81640625" style="2" customWidth="1"/>
    <col min="8" max="8" width="10.81640625" style="2" customWidth="1"/>
    <col min="9" max="16384" width="10.81640625" style="2"/>
  </cols>
  <sheetData>
    <row r="1" spans="1:9" ht="13" x14ac:dyDescent="0.25">
      <c r="A1" s="218" t="s">
        <v>92</v>
      </c>
      <c r="B1" s="219"/>
      <c r="C1" s="219"/>
      <c r="D1" s="220"/>
      <c r="E1" s="219"/>
    </row>
    <row r="2" spans="1:9" ht="13" x14ac:dyDescent="0.25">
      <c r="A2" s="218" t="s">
        <v>93</v>
      </c>
      <c r="B2" s="219"/>
      <c r="C2" s="219"/>
      <c r="D2" s="220"/>
      <c r="E2" s="219"/>
    </row>
    <row r="4" spans="1:9" ht="14" customHeight="1" x14ac:dyDescent="0.25">
      <c r="A4" s="19" t="s">
        <v>94</v>
      </c>
      <c r="B4" s="19" t="s">
        <v>95</v>
      </c>
      <c r="C4" s="19" t="s">
        <v>96</v>
      </c>
      <c r="D4" s="56" t="s">
        <v>97</v>
      </c>
      <c r="E4" s="56" t="s">
        <v>98</v>
      </c>
      <c r="F4" s="55" t="s">
        <v>26</v>
      </c>
      <c r="G4" s="19" t="s">
        <v>99</v>
      </c>
      <c r="I4" s="92" t="s">
        <v>100</v>
      </c>
    </row>
    <row r="5" spans="1:9" x14ac:dyDescent="0.25">
      <c r="I5" s="185" t="s">
        <v>101</v>
      </c>
    </row>
    <row r="6" spans="1:9" x14ac:dyDescent="0.25">
      <c r="I6" s="150" t="s">
        <v>102</v>
      </c>
    </row>
    <row r="7" spans="1:9" x14ac:dyDescent="0.25">
      <c r="I7" s="186" t="s">
        <v>91</v>
      </c>
    </row>
    <row r="8" spans="1:9" x14ac:dyDescent="0.25">
      <c r="I8" s="187" t="s">
        <v>103</v>
      </c>
    </row>
  </sheetData>
  <mergeCells count="2">
    <mergeCell ref="A2:E2"/>
    <mergeCell ref="A1:E1"/>
  </mergeCells>
  <dataValidations count="1">
    <dataValidation type="list" allowBlank="1" showInputMessage="1" showErrorMessage="1" sqref="F5:F10" xr:uid="{00000000-0002-0000-0100-000000000000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workbookViewId="0">
      <selection activeCell="H5" sqref="H5"/>
    </sheetView>
  </sheetViews>
  <sheetFormatPr defaultColWidth="10.81640625" defaultRowHeight="12.5" x14ac:dyDescent="0.25"/>
  <cols>
    <col min="1" max="1" width="6.1796875" style="2" customWidth="1"/>
    <col min="2" max="2" width="21.453125" style="2" customWidth="1"/>
    <col min="3" max="3" width="53.1796875" style="2" customWidth="1"/>
    <col min="4" max="4" width="23.453125" style="3" customWidth="1"/>
    <col min="5" max="5" width="16.453125" style="3" customWidth="1"/>
    <col min="6" max="6" width="16.81640625" style="3" customWidth="1"/>
    <col min="7" max="7" width="18.6328125" style="3" customWidth="1"/>
    <col min="8" max="8" width="10.81640625" style="3" customWidth="1"/>
    <col min="9" max="9" width="30" style="2" customWidth="1"/>
    <col min="10" max="10" width="32.1796875" style="2" customWidth="1"/>
    <col min="11" max="12" width="10.81640625" style="2" customWidth="1"/>
    <col min="13" max="13" width="13.81640625" style="2" bestFit="1" customWidth="1"/>
    <col min="14" max="14" width="5.1796875" style="2" customWidth="1"/>
    <col min="15" max="15" width="13.453125" style="2" bestFit="1" customWidth="1"/>
    <col min="16" max="16" width="10.81640625" style="2" customWidth="1"/>
    <col min="17" max="16384" width="10.81640625" style="2"/>
  </cols>
  <sheetData>
    <row r="1" spans="1:15" ht="13" x14ac:dyDescent="0.25">
      <c r="A1" s="218" t="s">
        <v>104</v>
      </c>
      <c r="B1" s="219"/>
      <c r="C1" s="219"/>
      <c r="D1" s="220"/>
      <c r="E1" s="220"/>
      <c r="F1" s="220"/>
      <c r="G1" s="220"/>
    </row>
    <row r="2" spans="1:15" ht="13" x14ac:dyDescent="0.25">
      <c r="A2" s="218" t="s">
        <v>1</v>
      </c>
      <c r="B2" s="219"/>
      <c r="C2" s="219"/>
      <c r="D2" s="220"/>
      <c r="E2" s="220"/>
      <c r="F2" s="220"/>
      <c r="G2" s="220"/>
    </row>
    <row r="4" spans="1:15" ht="14" customHeight="1" x14ac:dyDescent="0.25">
      <c r="A4" s="19" t="s">
        <v>94</v>
      </c>
      <c r="B4" s="19" t="s">
        <v>95</v>
      </c>
      <c r="C4" s="19" t="s">
        <v>105</v>
      </c>
      <c r="D4" s="56" t="s">
        <v>106</v>
      </c>
      <c r="E4" s="56" t="s">
        <v>107</v>
      </c>
      <c r="F4" s="56" t="s">
        <v>97</v>
      </c>
      <c r="G4" s="56" t="s">
        <v>98</v>
      </c>
      <c r="H4" s="55" t="s">
        <v>26</v>
      </c>
      <c r="I4" s="19" t="s">
        <v>108</v>
      </c>
      <c r="J4" s="19" t="s">
        <v>109</v>
      </c>
      <c r="M4" s="92" t="s">
        <v>110</v>
      </c>
      <c r="O4" s="92" t="s">
        <v>111</v>
      </c>
    </row>
    <row r="5" spans="1:15" x14ac:dyDescent="0.25">
      <c r="A5">
        <v>1</v>
      </c>
      <c r="B5" t="s">
        <v>112</v>
      </c>
      <c r="C5" t="s">
        <v>113</v>
      </c>
      <c r="D5" t="s">
        <v>114</v>
      </c>
      <c r="E5" t="s">
        <v>115</v>
      </c>
      <c r="F5" s="193">
        <v>46188</v>
      </c>
      <c r="G5" t="s">
        <v>14</v>
      </c>
      <c r="H5" t="s">
        <v>101</v>
      </c>
      <c r="I5" s="19" t="s">
        <v>116</v>
      </c>
      <c r="J5" t="s">
        <v>117</v>
      </c>
      <c r="M5" s="188" t="s">
        <v>118</v>
      </c>
      <c r="O5" s="185" t="s">
        <v>101</v>
      </c>
    </row>
    <row r="6" spans="1:15" x14ac:dyDescent="0.25">
      <c r="A6">
        <v>2</v>
      </c>
      <c r="B6" t="s">
        <v>119</v>
      </c>
      <c r="C6" t="s">
        <v>120</v>
      </c>
      <c r="D6" t="s">
        <v>114</v>
      </c>
      <c r="E6" t="s">
        <v>114</v>
      </c>
      <c r="F6" s="193">
        <v>46188</v>
      </c>
      <c r="G6" t="s">
        <v>14</v>
      </c>
      <c r="H6" t="s">
        <v>101</v>
      </c>
      <c r="I6" s="19" t="s">
        <v>121</v>
      </c>
      <c r="J6" t="s">
        <v>122</v>
      </c>
      <c r="M6" s="189" t="s">
        <v>123</v>
      </c>
      <c r="O6" s="192" t="s">
        <v>102</v>
      </c>
    </row>
    <row r="7" spans="1:15" x14ac:dyDescent="0.25">
      <c r="A7">
        <v>3</v>
      </c>
      <c r="B7" t="s">
        <v>124</v>
      </c>
      <c r="C7" t="s">
        <v>125</v>
      </c>
      <c r="D7" t="s">
        <v>115</v>
      </c>
      <c r="E7" t="s">
        <v>123</v>
      </c>
      <c r="F7" s="193">
        <v>46188</v>
      </c>
      <c r="G7" t="s">
        <v>15</v>
      </c>
      <c r="H7" t="s">
        <v>101</v>
      </c>
      <c r="I7" s="19" t="s">
        <v>126</v>
      </c>
      <c r="J7" t="s">
        <v>127</v>
      </c>
      <c r="M7" s="190" t="s">
        <v>114</v>
      </c>
      <c r="O7" s="151" t="s">
        <v>128</v>
      </c>
    </row>
    <row r="8" spans="1:15" x14ac:dyDescent="0.25">
      <c r="A8">
        <v>4</v>
      </c>
      <c r="B8" t="s">
        <v>129</v>
      </c>
      <c r="C8" t="s">
        <v>130</v>
      </c>
      <c r="D8" t="s">
        <v>115</v>
      </c>
      <c r="E8" t="s">
        <v>114</v>
      </c>
      <c r="F8" s="193">
        <v>46188</v>
      </c>
      <c r="G8" t="s">
        <v>14</v>
      </c>
      <c r="H8" t="s">
        <v>101</v>
      </c>
      <c r="I8" s="19" t="s">
        <v>131</v>
      </c>
      <c r="J8" t="s">
        <v>132</v>
      </c>
      <c r="M8" s="191" t="s">
        <v>115</v>
      </c>
    </row>
    <row r="9" spans="1:15" x14ac:dyDescent="0.25">
      <c r="A9">
        <v>5</v>
      </c>
      <c r="B9" t="s">
        <v>133</v>
      </c>
      <c r="C9" t="s">
        <v>134</v>
      </c>
      <c r="D9" t="s">
        <v>114</v>
      </c>
      <c r="E9" t="s">
        <v>114</v>
      </c>
      <c r="F9" s="193">
        <v>46188</v>
      </c>
      <c r="G9" t="s">
        <v>16</v>
      </c>
      <c r="H9" t="s">
        <v>101</v>
      </c>
      <c r="I9" t="s">
        <v>135</v>
      </c>
      <c r="J9" t="s">
        <v>136</v>
      </c>
    </row>
  </sheetData>
  <mergeCells count="2">
    <mergeCell ref="A2:G2"/>
    <mergeCell ref="A1:G1"/>
  </mergeCells>
  <dataValidations count="2">
    <dataValidation type="list" allowBlank="1" showInputMessage="1" showErrorMessage="1" sqref="D5:E9" xr:uid="{00000000-0002-0000-0200-000000000000}">
      <formula1>$M$5:$M$8</formula1>
    </dataValidation>
    <dataValidation type="list" allowBlank="1" showInputMessage="1" showErrorMessage="1" sqref="H5:H9" xr:uid="{00000000-0002-0000-0200-000001000000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Activités</vt:lpstr>
      <vt:lpstr>Obstacles</vt:lpstr>
      <vt:lpstr>Risques</vt:lpstr>
      <vt:lpstr>tarif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Mentor, Marie Françoise Esther E</cp:lastModifiedBy>
  <dcterms:created xsi:type="dcterms:W3CDTF">2021-01-30T20:56:24Z</dcterms:created>
  <dcterms:modified xsi:type="dcterms:W3CDTF">2026-06-16T20:09:43Z</dcterms:modified>
</cp:coreProperties>
</file>